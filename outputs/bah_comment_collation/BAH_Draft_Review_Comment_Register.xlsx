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2c5dd07e6c247ef" /></Relationships>
</file>

<file path=xl/workbook.xml><?xml version="1.0" encoding="utf-8"?>
<x:workbook xmlns:x="http://schemas.openxmlformats.org/spreadsheetml/2006/main">
  <x:sheets>
    <x:sheet xmlns:r="http://schemas.openxmlformats.org/officeDocument/2006/relationships" name="Summary" sheetId="1" r:id="Rbe110c64bcb942bd"/>
    <x:sheet xmlns:r="http://schemas.openxmlformats.org/officeDocument/2006/relationships" name="Comment Register" sheetId="2" r:id="Rd16331fc83fb4bb1"/>
    <x:sheet xmlns:r="http://schemas.openxmlformats.org/officeDocument/2006/relationships" name="BAH Response" sheetId="3" r:id="R7fb599bb68af48cf"/>
    <x:sheet xmlns:r="http://schemas.openxmlformats.org/officeDocument/2006/relationships" name="Document Summary" sheetId="4" r:id="R27731da164a347b9"/>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6"/>
      <x:color rgb="FFFFFFFF"/>
      <x:name val="Carlito"/>
    </x:font>
    <x:font>
      <x:i/>
      <x:sz val="11"/>
      <x:color rgb="FF1F2937"/>
      <x:name val="Carlito"/>
    </x:font>
    <x:font>
      <x:b/>
      <x:sz val="11"/>
      <x:color rgb="FFFFFFFF"/>
      <x:name val="Carlito"/>
    </x:font>
    <x:font>
      <x:b/>
      <x:sz val="11"/>
      <x:name val="Carlito"/>
    </x:font>
    <x:font>
      <x:i/>
      <x:sz val="11"/>
      <x:name val="Carlito"/>
    </x:font>
    <x:font>
      <x:b/>
      <x:sz val="14"/>
      <x:color rgb="FFFFFFFF"/>
      <x:name val="Carlito"/>
    </x:font>
  </x:fonts>
  <x:fills count="10">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5B9BD5"/>
      </x:patternFill>
    </x:fill>
    <x:fill>
      <x:patternFill patternType="solid">
        <x:fgColor rgb="FFEDF3F8"/>
      </x:patternFill>
    </x:fill>
    <x:fill>
      <x:patternFill patternType="solid">
        <x:fgColor rgb="FFFFF2CC"/>
      </x:patternFill>
    </x:fill>
    <x:fill>
      <x:patternFill patternType="solid">
        <x:fgColor rgb="FF70AD47"/>
      </x:patternFill>
    </x:fill>
    <x:fill>
      <x:patternFill patternType="solid">
        <x:fgColor rgb="FFE2F0D9"/>
      </x:patternFill>
    </x:fill>
    <x:fill>
      <x:patternFill patternType="solid">
        <x:fgColor rgb="FFF5FAF1"/>
      </x:patternFill>
    </x:fill>
  </x:fills>
  <x:borders count="17">
    <x:border/>
    <x:border>
      <x:left style="thin">
        <x:color rgb="FF9EADBA"/>
      </x:left>
      <x:top style="thin">
        <x:color rgb="FF9EADBA"/>
      </x:top>
    </x:border>
    <x:border>
      <x:right style="thin">
        <x:color rgb="FF9EADBA"/>
      </x:right>
      <x:top style="thin">
        <x:color rgb="FF9EADBA"/>
      </x:top>
    </x:border>
    <x:border>
      <x:left style="thin">
        <x:color rgb="FF9EADBA"/>
      </x:left>
    </x:border>
    <x:border>
      <x:right style="thin">
        <x:color rgb="FF9EADBA"/>
      </x:right>
    </x:border>
    <x:border>
      <x:left style="thin">
        <x:color rgb="FF9EADBA"/>
      </x:left>
      <x:bottom style="thin">
        <x:color rgb="FF9EADBA"/>
      </x:bottom>
    </x:border>
    <x:border>
      <x:right style="thin">
        <x:color rgb="FF9EADBA"/>
      </x:right>
      <x:bottom style="thin">
        <x:color rgb="FF9EADBA"/>
      </x:bottom>
    </x:border>
    <x:border>
      <x:left style="thin">
        <x:color rgb="FFA8C893"/>
      </x:left>
      <x:top style="thin">
        <x:color rgb="FFA8C893"/>
      </x:top>
    </x:border>
    <x:border>
      <x:top style="thin">
        <x:color rgb="FFA8C893"/>
      </x:top>
    </x:border>
    <x:border>
      <x:right style="thin">
        <x:color rgb="FFA8C893"/>
      </x:right>
      <x:top style="thin">
        <x:color rgb="FFA8C893"/>
      </x:top>
    </x:border>
    <x:border>
      <x:left style="thin">
        <x:color rgb="FFA8C893"/>
      </x:left>
    </x:border>
    <x:border>
      <x:right style="thin">
        <x:color rgb="FFA8C893"/>
      </x:right>
    </x:border>
    <x:border>
      <x:left style="thin">
        <x:color rgb="FFA8C893"/>
      </x:left>
      <x:bottom style="thin">
        <x:color rgb="FFA8C893"/>
      </x:bottom>
    </x:border>
    <x:border>
      <x:bottom style="thin">
        <x:color rgb="FFA8C893"/>
      </x:bottom>
    </x:border>
    <x:border>
      <x:right style="thin">
        <x:color rgb="FFA8C893"/>
      </x:right>
      <x:bottom style="thin">
        <x:color rgb="FFA8C893"/>
      </x:bottom>
    </x:border>
    <x:border>
      <x:top style="thin">
        <x:color rgb="FF9EADBA"/>
      </x:top>
    </x:border>
    <x:border>
      <x:bottom style="thin">
        <x:color rgb="FF9EADBA"/>
      </x:bottom>
    </x:border>
  </x:borders>
  <x:cellStyleXfs count="1">
    <x:xf numFmtId="0" fontId="0" fillId="0" borderId="0"/>
  </x:cellStyleXfs>
  <x:cellXfs count="9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5" borderId="3" xfId="0" applyNumberFormat="1" applyFont="1" applyFill="1" applyBorder="1"/>
    <x:xf numFmtId="0" fontId="0" fillId="5" borderId="5" xfId="0" applyNumberFormat="1" applyFont="1" applyFill="1" applyBorder="1"/>
    <x:xf numFmtId="0" fontId="4" fillId="5" borderId="3" xfId="0" applyNumberFormat="1" applyFont="1" applyFill="1" applyBorder="1"/>
    <x:xf numFmtId="0" fontId="4" fillId="5" borderId="5" xfId="0" applyNumberFormat="1" applyFont="1" applyFill="1" applyBorder="1"/>
    <x:xf numFmtId="0" fontId="0" fillId="6" borderId="4" xfId="0" applyNumberFormat="1" applyFont="1" applyFill="1" applyBorder="1"/>
    <x:xf numFmtId="0" fontId="0" fillId="6" borderId="6" xfId="0" applyNumberFormat="1" applyFont="1" applyFill="1" applyBorder="1"/>
    <x:xf numFmtId="0" fontId="4" fillId="6" borderId="4" xfId="0" applyNumberFormat="1" applyFont="1" applyFill="1" applyBorder="1"/>
    <x:xf numFmtId="0" fontId="4" fillId="6" borderId="6" xfId="0" applyNumberFormat="1" applyFont="1" applyFill="1" applyBorder="1"/>
    <x:xf numFmtId="0" fontId="4" fillId="6" borderId="4" xfId="0" applyNumberFormat="1" applyFont="1" applyFill="1" applyBorder="1" applyAlignment="1">
      <x:alignment horizontal="center"/>
    </x:xf>
    <x:xf numFmtId="0" fontId="4" fillId="6" borderId="6" xfId="0" applyNumberFormat="1" applyFont="1" applyFill="1" applyBorder="1" applyAlignment="1">
      <x:alignment horizontal="center"/>
    </x:xf>
    <x:xf numFmtId="0" fontId="0" fillId="7" borderId="0" xfId="0" applyNumberFormat="1" applyFont="1" applyFill="1" applyBorder="1"/>
    <x:xf numFmtId="0" fontId="3" fillId="7" borderId="0" xfId="0" applyNumberFormat="1" applyFont="1" applyFill="1" applyBorder="1"/>
    <x:xf numFmtId="0" fontId="0" fillId="8" borderId="0" xfId="0" applyNumberFormat="1" applyFont="1" applyFill="1" applyBorder="1"/>
    <x:xf numFmtId="0" fontId="4" fillId="8" borderId="0" xfId="0" applyNumberFormat="1" applyFont="1" applyFill="1" applyBorder="1"/>
    <x:xf numFmtId="0" fontId="4" fillId="8" borderId="7" xfId="0" applyNumberFormat="1" applyFont="1" applyFill="1" applyBorder="1"/>
    <x:xf numFmtId="0" fontId="4" fillId="8" borderId="8" xfId="0" applyNumberFormat="1" applyFont="1" applyFill="1" applyBorder="1"/>
    <x:xf numFmtId="0" fontId="4" fillId="8" borderId="9" xfId="0" applyNumberFormat="1" applyFont="1" applyFill="1" applyBorder="1"/>
    <x:xf numFmtId="0" fontId="0" fillId="0" borderId="10" xfId="0" applyNumberFormat="1" applyFont="1" applyFill="1" applyBorder="1"/>
    <x:xf numFmtId="0" fontId="0" fillId="0" borderId="0" xfId="0" applyNumberFormat="1" applyFont="1" applyFill="1" applyBorder="1"/>
    <x:xf numFmtId="0" fontId="0" fillId="0" borderId="11"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9" borderId="10" xfId="0" applyNumberFormat="1" applyFont="1" applyFill="1" applyBorder="1"/>
    <x:xf numFmtId="0" fontId="0" fillId="9" borderId="12" xfId="0" applyNumberFormat="1" applyFont="1" applyFill="1" applyBorder="1"/>
    <x:xf numFmtId="0" fontId="0" fillId="9" borderId="10" xfId="0" applyNumberFormat="1" applyFont="1" applyFill="1" applyBorder="1" applyAlignment="1">
      <x:alignment wrapText="1"/>
    </x:xf>
    <x:xf numFmtId="0" fontId="0" fillId="9" borderId="12" xfId="0" applyNumberFormat="1" applyFont="1" applyFill="1" applyBorder="1" applyAlignment="1">
      <x:alignment wrapText="1"/>
    </x:xf>
    <x:xf numFmtId="0" fontId="0" fillId="9" borderId="10" xfId="0" applyNumberFormat="1" applyFont="1" applyFill="1" applyBorder="1" applyAlignment="1">
      <x:alignment vertical="center" wrapText="1"/>
    </x:xf>
    <x:xf numFmtId="0" fontId="0" fillId="9" borderId="12" xfId="0" applyNumberFormat="1" applyFont="1" applyFill="1" applyBorder="1" applyAlignment="1">
      <x:alignment vertical="center" wrapText="1"/>
    </x:xf>
    <x:xf numFmtId="0" fontId="4" fillId="0" borderId="0" xfId="0" applyNumberFormat="1" applyFont="1" applyFill="1" applyBorder="1"/>
    <x:xf numFmtId="0" fontId="4" fillId="0" borderId="13" xfId="0" applyNumberFormat="1" applyFont="1" applyFill="1" applyBorder="1"/>
    <x:xf numFmtId="0" fontId="4" fillId="0" borderId="0" xfId="0" applyNumberFormat="1" applyFont="1" applyFill="1" applyBorder="1" applyAlignment="1">
      <x:alignment horizontal="center"/>
    </x:xf>
    <x:xf numFmtId="0" fontId="4" fillId="0" borderId="13" xfId="0" applyNumberFormat="1" applyFont="1" applyFill="1" applyBorder="1" applyAlignment="1">
      <x:alignment horizontal="center"/>
    </x:xf>
    <x:xf numFmtId="0" fontId="0" fillId="0" borderId="11"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1" xfId="0" applyNumberFormat="1" applyFont="1" applyFill="1" applyBorder="1" applyAlignment="1">
      <x:alignment vertical="center" wrapText="1"/>
    </x:xf>
    <x:xf numFmtId="0" fontId="0" fillId="0" borderId="14" xfId="0" applyNumberFormat="1" applyFont="1" applyFill="1" applyBorder="1" applyAlignment="1">
      <x:alignment vertical="center" wrapText="1"/>
    </x:xf>
    <x:xf numFmtId="0" fontId="4" fillId="3" borderId="0" xfId="0" applyNumberFormat="1" applyFont="1" applyFill="1" applyBorder="1"/>
    <x:xf numFmtId="0" fontId="4" fillId="3" borderId="1" xfId="0" applyNumberFormat="1" applyFont="1" applyFill="1" applyBorder="1"/>
    <x:xf numFmtId="0" fontId="4" fillId="3" borderId="2" xfId="0" applyNumberFormat="1" applyFont="1" applyFill="1" applyBorder="1"/>
    <x:xf numFmtId="0" fontId="0" fillId="0" borderId="3"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3" xfId="0" applyNumberFormat="1" applyFont="1" applyFill="1" applyBorder="1" applyAlignment="1">
      <x:alignment vertical="center" wrapText="1"/>
    </x:xf>
    <x:xf numFmtId="0" fontId="0" fillId="0" borderId="5" xfId="0" applyNumberFormat="1" applyFont="1" applyFill="1" applyBorder="1" applyAlignment="1">
      <x:alignment vertical="center" wrapText="1"/>
    </x:xf>
    <x:xf numFmtId="0" fontId="4" fillId="0" borderId="4" xfId="0" applyNumberFormat="1" applyFont="1" applyFill="1" applyBorder="1"/>
    <x:xf numFmtId="0" fontId="4" fillId="0" borderId="6" xfId="0" applyNumberFormat="1" applyFont="1" applyFill="1" applyBorder="1"/>
    <x:xf numFmtId="0" fontId="4" fillId="0" borderId="4" xfId="0" applyNumberFormat="1" applyFont="1" applyFill="1" applyBorder="1" applyAlignment="1">
      <x:alignment horizontal="center"/>
    </x:xf>
    <x:xf numFmtId="0" fontId="4" fillId="0" borderId="6" xfId="0" applyNumberFormat="1" applyFont="1" applyFill="1" applyBorder="1" applyAlignment="1">
      <x:alignment horizontal="center"/>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vertical="center"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center" wrapText="1"/>
    </x:xf>
    <x:xf numFmtId="0" fontId="0" fillId="0" borderId="0" xfId="0" applyNumberFormat="1" applyFont="1" applyFill="1" applyBorder="1" applyAlignment="1">
      <x:alignment horizontal="center"/>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x:xf>
    <x:xf numFmtId="0" fontId="0" fillId="0" borderId="0" xfId="0" applyNumberFormat="1" applyFont="1" applyFill="1" applyBorder="1" applyAlignment="1">
      <x:alignment horizontal="center" vertical="top"/>
    </x:xf>
    <x:xf numFmtId="0" fontId="0" fillId="0" borderId="0" xfId="0" applyNumberFormat="1" applyFont="1" applyFill="1" applyBorder="1" applyAlignment="1">
      <x:alignment vertical="top" wrapText="1"/>
    </x:xf>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6" fillId="2" borderId="0" xfId="0" applyNumberFormat="1" applyFont="1" applyFill="1" applyBorder="1"/>
    <x:xf numFmtId="0" fontId="3" fillId="4" borderId="15" xfId="0" applyNumberFormat="1" applyFont="1" applyFill="1" applyBorder="1"/>
    <x:xf numFmtId="0" fontId="0" fillId="0" borderId="16" xfId="0" applyNumberFormat="1" applyFont="1" applyFill="1" applyBorder="1"/>
    <x:xf numFmtId="0" fontId="0" fillId="0" borderId="4" xfId="0" applyNumberFormat="1" applyFont="1" applyFill="1" applyBorder="1" applyAlignment="1">
      <x:alignment wrapText="1"/>
    </x:xf>
    <x:xf numFmtId="0" fontId="0" fillId="0" borderId="16"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0" xfId="0" applyNumberFormat="1" applyFont="1" applyFill="1" applyBorder="1" applyAlignment="1">
      <x:alignment vertical="center" wrapText="1"/>
    </x:xf>
    <x:xf numFmtId="0" fontId="0" fillId="0" borderId="4" xfId="0" applyNumberFormat="1" applyFont="1" applyFill="1" applyBorder="1" applyAlignment="1">
      <x:alignment vertical="center" wrapText="1"/>
    </x:xf>
    <x:xf numFmtId="0" fontId="0" fillId="0" borderId="16" xfId="0" applyNumberFormat="1" applyFont="1" applyFill="1" applyBorder="1" applyAlignment="1">
      <x:alignment vertical="center" wrapText="1"/>
    </x:xf>
    <x:xf numFmtId="0" fontId="0" fillId="0" borderId="6" xfId="0" applyNumberFormat="1" applyFont="1" applyFill="1" applyBorder="1" applyAlignment="1">
      <x:alignment vertical="center" wrapText="1"/>
    </x:xf>
    <x:xf numFmtId="0" fontId="0" fillId="0" borderId="0" xfId="0" applyNumberFormat="1" applyFont="1" applyFill="1" applyBorder="1" applyAlignment="1">
      <x:alignment horizontal="center" vertical="center" wrapText="1"/>
    </x:xf>
    <x:xf numFmtId="0" fontId="0" fillId="0" borderId="16" xfId="0" applyNumberFormat="1" applyFont="1" applyFill="1" applyBorder="1" applyAlignment="1">
      <x:alignment horizontal="center" vertical="center" wrapText="1"/>
    </x:xf>
  </x:cellXfs>
  <x:cellStyles count="1">
    <x:cellStyle name="Normal" xfId="0"/>
  </x:cellStyles>
  <x:dxfs count="4">
    <x:dxf>
      <x:font>
        <x:color rgb="FF9C0006"/>
      </x:font>
      <x:fill>
        <x:patternFill patternType="solid">
          <x:bgColor rgb="FFFCE4D6"/>
        </x:patternFill>
      </x:fill>
    </x:dxf>
    <x:dxf>
      <x:font>
        <x:color rgb="FF006100"/>
      </x:font>
      <x:fill>
        <x:patternFill patternType="solid">
          <x:bgColor rgb="FFE2F0D9"/>
        </x:patternFill>
      </x:fill>
    </x:dxf>
    <x:dxf>
      <x:font>
        <x:color rgb="FF006100"/>
      </x:font>
      <x:fill>
        <x:patternFill patternType="solid">
          <x:bgColor rgb="FFE2F0D9"/>
        </x:patternFill>
      </x:fill>
    </x:dxf>
    <x:dxf>
      <x:font>
        <x:color rgb="FF7F60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f2523898a554e96" /><Relationship Type="http://schemas.openxmlformats.org/officeDocument/2006/relationships/theme" Target="/xl/theme/theme1.xml" Id="R5d3bd2d26ad742c3" /><Relationship Type="http://schemas.openxmlformats.org/officeDocument/2006/relationships/sharedStrings" Target="/xl/sharedStrings.xml" Id="Rcc86bc22c504420a" /><Relationship Type="http://schemas.openxmlformats.org/officeDocument/2006/relationships/worksheet" Target="/xl/worksheets/sheet1.xml" Id="Rbe110c64bcb942bd" /><Relationship Type="http://schemas.openxmlformats.org/officeDocument/2006/relationships/worksheet" Target="/xl/worksheets/sheet2.xml" Id="Rd16331fc83fb4bb1" /><Relationship Type="http://schemas.openxmlformats.org/officeDocument/2006/relationships/worksheet" Target="/xl/worksheets/sheet3.xml" Id="R7fb599bb68af48cf" /><Relationship Type="http://schemas.openxmlformats.org/officeDocument/2006/relationships/worksheet" Target="/xl/worksheets/sheet4.xml" Id="R27731da164a347b9" /></Relationships>
</file>

<file path=xl/tables/table1.xml><?xml version="1.0" encoding="utf-8"?>
<x:table xmlns:x="http://schemas.openxmlformats.org/spreadsheetml/2006/main" id="1" name="CommentRegister" displayName="CommentRegister" ref="A1:O50" headerRowCount="1" totalsRowCount="0" totalsRowShown="0">
  <x:tableColumns count="15">
    <x:tableColumn id="1" name="ID"/>
    <x:tableColumn id="2" name="Document"/>
    <x:tableColumn id="3" name="Page"/>
    <x:tableColumn id="4" name="Annotation Type"/>
    <x:tableColumn id="5" name="Author"/>
    <x:tableColumn id="6" name="Comment Date"/>
    <x:tableColumn id="7" name="Anchor Text"/>
    <x:tableColumn id="8" name="Reviewer Comment"/>
    <x:tableColumn id="9" name="Initial Topic"/>
    <x:tableColumn id="10" name="Discussion Group"/>
    <x:tableColumn id="11" name="Status"/>
    <x:tableColumn id="12" name="Disposition"/>
    <x:tableColumn id="13" name="Owner"/>
    <x:tableColumn id="14" name="Resolution Notes"/>
    <x:tableColumn id="15" name="Source PDF"/>
  </x:tableColumns>
  <x:tableStyleInfo name="TableStyleMedium2" showFirstColumn="0" showLastColumn="0" showRowStripes="1" showColumnStripes="0"/>
</x:table>
</file>

<file path=xl/tables/table2.xml><?xml version="1.0" encoding="utf-8"?>
<x:table xmlns:x="http://schemas.openxmlformats.org/spreadsheetml/2006/main" id="2" name="BAHResponse" displayName="BAHResponse" ref="A4:F53" headerRowCount="1" totalsRowCount="0" totalsRowShown="0">
  <x:tableColumns count="6">
    <x:tableColumn id="1" name="ID"/>
    <x:tableColumn id="2" name="Document"/>
    <x:tableColumn id="3" name="Discussion Group"/>
    <x:tableColumn id="4" name="Disposition"/>
    <x:tableColumn id="5" name="Response and Rationale"/>
    <x:tableColumn id="6" name="Principal Source Upda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045f6a377aa4dab" /></Relationships>
</file>

<file path=xl/worksheets/_rels/sheet3.xml.rels>&#65279;<?xml version="1.0" encoding="utf-8"?><Relationships xmlns="http://schemas.openxmlformats.org/package/2006/relationships"><Relationship Type="http://schemas.openxmlformats.org/officeDocument/2006/relationships/table" Target="/xl/tables/table2.xml" Id="Ra5645371b89241e3" /></Relationships>
</file>

<file path=xl/worksheets/sheet1.xml><?xml version="1.0" encoding="utf-8"?>
<x:worksheet xmlns:x="http://schemas.openxmlformats.org/spreadsheetml/2006/main">
  <x:sheetViews>
    <x:sheetView showGridLines="0" workbookViewId="0"/>
  </x:sheetViews>
  <x:sheetFormatPr defaultRowHeight="15"/>
  <x:cols>
    <x:col min="1" max="1" width="35" hidden="0" customWidth="1"/>
    <x:col min="2" max="2" width="12" hidden="0" customWidth="1"/>
    <x:col min="3" max="3" width="55" hidden="0" customWidth="1"/>
    <x:col min="4" max="4" width="4" hidden="0" customWidth="1"/>
    <x:col min="5" max="5" width="46" hidden="0" customWidth="1"/>
    <x:col min="6" max="6" width="12" hidden="0" customWidth="1"/>
    <x:col min="7" max="7" width="4" hidden="0" customWidth="1"/>
  </x:cols>
  <x:sheetData>
    <x:row r="1" ht="30" customHeight="1">
      <x:c r="A1" s="4" t="str">
        <x:v>BAH Draft Review Comment Disposition Register</x:v>
      </x:c>
      <x:c r="B1" s="4"/>
      <x:c r="C1" s="4"/>
      <x:c r="D1" s="4"/>
      <x:c r="E1" s="4"/>
      <x:c r="F1" s="4"/>
      <x:c r="G1" s="4"/>
    </x:row>
    <x:row r="2" ht="38" customHeight="1">
      <x:c r="A2" s="8" t="str">
        <x:v>All 49 substantive BAH draft-review comments are resolved. The BAH Response sheet records the disposition, rationale, and principal source update for each comment.</x:v>
      </x:c>
      <x:c r="B2" s="8"/>
      <x:c r="C2" s="8"/>
      <x:c r="D2" s="8"/>
      <x:c r="E2" s="8"/>
      <x:c r="F2" s="8"/>
      <x:c r="G2" s="8"/>
    </x:row>
    <x:row r="4">
      <x:c r="A4" s="11" t="str">
        <x:v>Review metric</x:v>
      </x:c>
      <x:c r="B4" s="12" t="str">
        <x:v>Value</x:v>
      </x:c>
      <x:c r="E4" s="10" t="str">
        <x:v>Commented review documents</x:v>
      </x:c>
      <x:c r="F4" s="10"/>
      <x:c r="G4" s="10"/>
    </x:row>
    <x:row r="5">
      <x:c r="A5" s="19" t="str">
        <x:v>Substantive comments</x:v>
      </x:c>
      <x:c r="B5" s="25" t="n">
        <x:f>COUNTA('Comment Register'!$A$2:$A$50)</x:f>
        <x:v>49</x:v>
      </x:c>
      <x:c r="E5" s="55" t="str">
        <x:v>Document</x:v>
      </x:c>
      <x:c r="F5" s="56" t="str">
        <x:v>Comments</x:v>
      </x:c>
    </x:row>
    <x:row r="6" ht="30" customHeight="1">
      <x:c r="A6" s="19" t="str">
        <x:v>Resolved comments</x:v>
      </x:c>
      <x:c r="B6" s="25" t="n">
        <x:f>COUNTIF('Comment Register'!$K$2:$K$50,"Resolved")</x:f>
        <x:v>49</x:v>
      </x:c>
      <x:c r="E6" s="59" t="str">
        <x:v>PP-Configuration-Server-Agent-v2.0-draft-review</x:v>
      </x:c>
      <x:c r="F6" s="63" t="n">
        <x:f>COUNTIF('Comment Register'!$B$2:$B$50,E6)</x:f>
        <x:v>8</x:v>
      </x:c>
    </x:row>
    <x:row r="7" ht="30" customHeight="1">
      <x:c r="A7" s="20" t="str">
        <x:v>Commented PDFs</x:v>
      </x:c>
      <x:c r="B7" s="26" t="n">
        <x:f>COUNTA('Document Summary'!$A$4:$A$11)</x:f>
        <x:v>8</x:v>
      </x:c>
      <x:c r="E7" s="59" t="str">
        <x:v>PP-Configuration-Server-v2.0-draft-review</x:v>
      </x:c>
      <x:c r="F7" s="63" t="n">
        <x:f>COUNTIF('Comment Register'!$B$2:$B$50,E7)</x:f>
        <x:v>3</x:v>
      </x:c>
    </x:row>
    <x:row r="8" ht="30" customHeight="1">
      <x:c r="E8" s="59" t="str">
        <x:v>PP-Module-Agent-v2.0-draft-review</x:v>
      </x:c>
      <x:c r="F8" s="63" t="n">
        <x:f>COUNTIF('Comment Register'!$B$2:$B$50,E8)</x:f>
        <x:v>2</x:v>
      </x:c>
    </x:row>
    <x:row r="9" ht="30" customHeight="1">
      <x:c r="A9" s="28" t="str">
        <x:v>Resolved discussion groups</x:v>
      </x:c>
      <x:c r="B9" s="28"/>
      <x:c r="C9" s="28"/>
      <x:c r="E9" s="59" t="str">
        <x:v>PP-Module-Server-v2.0-draft-review</x:v>
      </x:c>
      <x:c r="F9" s="63" t="n">
        <x:f>COUNTIF('Comment Register'!$B$2:$B$50,E9)</x:f>
        <x:v>3</x:v>
      </x:c>
    </x:row>
    <x:row r="10" ht="30" customHeight="1">
      <x:c r="A10" s="31" t="str">
        <x:v>Discussion group</x:v>
      </x:c>
      <x:c r="B10" s="32" t="str">
        <x:v>Comments</x:v>
      </x:c>
      <x:c r="C10" s="33" t="str">
        <x:v>Review focus</x:v>
      </x:c>
      <x:c r="E10" s="59" t="str">
        <x:v>SD-Application-Software-v2.0-draft-review</x:v>
      </x:c>
      <x:c r="F10" s="63" t="n">
        <x:f>COUNTIF('Comment Register'!$B$2:$B$50,E10)</x:f>
        <x:v>8</x:v>
      </x:c>
    </x:row>
    <x:row r="11" ht="30" customHeight="1">
      <x:c r="A11" s="44" t="str">
        <x:v>Agent registration and communication tests</x:v>
      </x:c>
      <x:c r="B11" s="48" t="n">
        <x:f>COUNTIF('Comment Register'!$J$2:$J$50,A11)</x:f>
        <x:v>7</x:v>
      </x:c>
      <x:c r="C11" s="52" t="str">
        <x:v>Decide whether to retain or revise registration-channel requirements and the related evaluator tests.</x:v>
      </x:c>
      <x:c r="E11" s="59" t="str">
        <x:v>SD-Module-Agent-v2.0-draft-review</x:v>
      </x:c>
      <x:c r="F11" s="63" t="n">
        <x:f>COUNTIF('Comment Register'!$B$2:$B$50,E11)</x:f>
        <x:v>11</x:v>
      </x:c>
    </x:row>
    <x:row r="12" ht="30" customHeight="1">
      <x:c r="A12" s="44" t="str">
        <x:v>Agent terminology and SFR iteration cleanup</x:v>
      </x:c>
      <x:c r="B12" s="48" t="n">
        <x:f>COUNTIF('Comment Register'!$J$2:$J$50,A12)</x:f>
        <x:v>3</x:v>
      </x:c>
      <x:c r="C12" s="52" t="str">
        <x:v>Remove obsolete /Agent labels and iteration references, then simplify the affected wording.</x:v>
      </x:c>
      <x:c r="E12" s="59" t="str">
        <x:v>SD-Module-Server-v2.0-draft-review</x:v>
      </x:c>
      <x:c r="F12" s="63" t="n">
        <x:f>COUNTIF('Comment Register'!$B$2:$B$50,E12)</x:f>
        <x:v>4</x:v>
      </x:c>
    </x:row>
    <x:row r="13" ht="30" customHeight="1">
      <x:c r="A13" s="44" t="str">
        <x:v>Distributed TOE allocation, IPC, and loopback scope</x:v>
      </x:c>
      <x:c r="B13" s="48" t="n">
        <x:f>COUNTIF('Comment Register'!$J$2:$J$50,A13)</x:f>
        <x:v>8</x:v>
      </x:c>
      <x:c r="C13" s="52" t="str">
        <x:v>Resolve allocation language, Feature Dependent usage, ST detail level, and loopback encryption scope.</x:v>
      </x:c>
      <x:c r="E13" s="60" t="str">
        <x:v>cPP-Application-Software-v2.0-draft-review</x:v>
      </x:c>
      <x:c r="F13" s="64" t="n">
        <x:f>COUNTIF('Comment Register'!$B$2:$B$50,E13)</x:f>
        <x:v>10</x:v>
      </x:c>
    </x:row>
    <x:row r="14" ht="42" customHeight="1">
      <x:c r="A14" s="44" t="str">
        <x:v>Managed runtime / application framework scope</x:v>
      </x:c>
      <x:c r="B14" s="48" t="n">
        <x:f>COUNTIF('Comment Register'!$J$2:$J$50,A14)</x:f>
        <x:v>13</x:v>
      </x:c>
      <x:c r="C14" s="52" t="str">
        <x:v>Align terminology, TD1026/TD1050 incorporation, TOE-boundary treatment, and update requirements.</x:v>
      </x:c>
    </x:row>
    <x:row r="15" ht="42" customHeight="1">
      <x:c r="A15" s="44" t="str">
        <x:v>Publication metadata and referenced versions</x:v>
      </x:c>
      <x:c r="B15" s="48" t="n">
        <x:f>COUNTIF('Comment Register'!$J$2:$J$50,A15)</x:f>
        <x:v>14</x:v>
      </x:c>
      <x:c r="C15" s="52" t="str">
        <x:v>Refresh 2026 dates and ensure all cited PP, module, and CC versions are current.</x:v>
      </x:c>
    </x:row>
    <x:row r="16" ht="42" customHeight="1">
      <x:c r="A16" s="45" t="str">
        <x:v>Server module alignment with the base cPP</x:v>
      </x:c>
      <x:c r="B16" s="49" t="n">
        <x:f>COUNTIF('Comment Register'!$J$2:$J$50,A16)</x:f>
        <x:v>4</x:v>
      </x:c>
      <x:c r="C16" s="53" t="str">
        <x:v>Resolve duplicated base-cPP requirements and evaluator activities in the Server module and SD.</x:v>
      </x:c>
    </x:row>
    <x:row r="21" ht="34" customHeight="1">
      <x:c r="A21" s="68" t="str">
        <x:v>Reviewer handoff: use the BAH Response sheet for the complete disposition, rationale, and principal source update. The Comment Register preserves the original annotation context.</x:v>
      </x:c>
      <x:c r="B21" s="68"/>
      <x:c r="C21" s="68"/>
      <x:c r="D21" s="68"/>
      <x:c r="E21" s="68"/>
      <x:c r="F21" s="68"/>
      <x:c r="G21" s="68"/>
    </x:row>
  </x:sheetData>
  <x:mergeCells>
    <x:mergeCell ref="A1:G1"/>
    <x:mergeCell ref="A2:G2"/>
    <x:mergeCell ref="A9:C9"/>
    <x:mergeCell ref="E4:G4"/>
    <x:mergeCell ref="A21:G2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43" hidden="0" customWidth="1"/>
    <x:col min="3" max="3" width="8" hidden="0" customWidth="1"/>
    <x:col min="4" max="4" width="16" hidden="0" customWidth="1"/>
    <x:col min="5" max="5" width="14" hidden="0" customWidth="1"/>
    <x:col min="6" max="6" width="22" hidden="0" customWidth="1"/>
    <x:col min="7" max="7" width="56" hidden="0" customWidth="1"/>
    <x:col min="8" max="8" width="74" hidden="0" customWidth="1"/>
    <x:col min="9" max="9" width="29" hidden="0" customWidth="1"/>
    <x:col min="10" max="10" width="43" hidden="0" customWidth="1"/>
    <x:col min="11" max="11" width="17" hidden="0" customWidth="1"/>
    <x:col min="12" max="12" width="24" hidden="0" customWidth="1"/>
    <x:col min="13" max="13" width="18" hidden="0" customWidth="1"/>
    <x:col min="14" max="14" width="48" hidden="0" customWidth="1"/>
    <x:col min="15" max="15" width="45" hidden="0" customWidth="1"/>
  </x:cols>
  <x:sheetData>
    <x:row r="1" ht="34" customHeight="1">
      <x:c r="A1" s="71" t="str">
        <x:v>ID</x:v>
      </x:c>
      <x:c r="B1" s="71" t="str">
        <x:v>Document</x:v>
      </x:c>
      <x:c r="C1" s="71" t="str">
        <x:v>Page</x:v>
      </x:c>
      <x:c r="D1" s="71" t="str">
        <x:v>Annotation Type</x:v>
      </x:c>
      <x:c r="E1" s="71" t="str">
        <x:v>Author</x:v>
      </x:c>
      <x:c r="F1" s="71" t="str">
        <x:v>Comment Date</x:v>
      </x:c>
      <x:c r="G1" s="71" t="str">
        <x:v>Anchor Text</x:v>
      </x:c>
      <x:c r="H1" s="71" t="str">
        <x:v>Reviewer Comment</x:v>
      </x:c>
      <x:c r="I1" s="71" t="str">
        <x:v>Initial Topic</x:v>
      </x:c>
      <x:c r="J1" s="71" t="str">
        <x:v>Discussion Group</x:v>
      </x:c>
      <x:c r="K1" s="71" t="str">
        <x:v>Status</x:v>
      </x:c>
      <x:c r="L1" s="71" t="str">
        <x:v>Disposition</x:v>
      </x:c>
      <x:c r="M1" s="71" t="str">
        <x:v>Owner</x:v>
      </x:c>
      <x:c r="N1" s="71" t="str">
        <x:v>Resolution Notes</x:v>
      </x:c>
      <x:c r="O1" s="71" t="str">
        <x:v>Source PDF</x:v>
      </x:c>
    </x:row>
    <x:row r="2" ht="39.599998474121094" hidden="0" customHeight="1">
      <x:c r="A2" s="74" t="str">
        <x:v>BAH-001</x:v>
      </x:c>
      <x:c r="B2" s="74" t="str">
        <x:v>PP-Configuration-Server-Agent-v2.0-draft-review</x:v>
      </x:c>
      <x:c r="C2" s="75" t="n">
        <x:v>2</x:v>
      </x:c>
      <x:c r="D2" s="74" t="str">
        <x:v>Highlight</x:v>
      </x:c>
      <x:c r="E2" s="74" t="str">
        <x:v>525185</x:v>
      </x:c>
      <x:c r="F2" s="74" t="str">
        <x:v>2026-07-10 14:39:50</x:v>
      </x:c>
      <x:c r="G2" s="76" t="str">
        <x:v>PP-Configuration for Enterprise Server Applications and Agent/Application Component(s), Version 1.0e, 2024-02-15 • As a shorthand reference, it can be identified as "CFG_APP-Server-Agent_V1.0e""</x:v>
      </x:c>
      <x:c r="H2" s="76" t="str">
        <x:v>update</x:v>
      </x:c>
      <x:c r="I2" s="76" t="str">
        <x:v>Editorial / publication</x:v>
      </x:c>
      <x:c r="J2" s="76" t="str">
        <x:v>Publication metadata and referenced versions</x:v>
      </x:c>
      <x:c r="K2" s="76" t="str">
        <x:v>Resolved</x:v>
      </x:c>
      <x:c r="L2" s="76" t="str">
        <x:v>Accept</x:v>
      </x:c>
      <x:c r="M2" s="76" t="str">
        <x:v>AppSW-iTC</x:v>
      </x:c>
      <x:c r="N2" s="76" t="str">
        <x:v>Updated the Server-Agent configuration title, version, date, and shorthand identifier to the Version 2.0 draft-review values.</x:v>
      </x:c>
      <x:c r="O2" s="76" t="str">
        <x:v>PP-Configuration-Server-Agent-v2.0-draft-review-BAH.pdf</x:v>
      </x:c>
    </x:row>
    <x:row r="3" ht="26.399999618530273" hidden="0" customHeight="1">
      <x:c r="A3" s="74" t="str">
        <x:v>BAH-002</x:v>
      </x:c>
      <x:c r="B3" s="74" t="str">
        <x:v>PP-Configuration-Server-Agent-v2.0-draft-review</x:v>
      </x:c>
      <x:c r="C3" s="75" t="n">
        <x:v>2</x:v>
      </x:c>
      <x:c r="D3" s="74" t="str">
        <x:v>Highlight</x:v>
      </x:c>
      <x:c r="E3" s="74" t="str">
        <x:v>525185</x:v>
      </x:c>
      <x:c r="F3" s="74" t="str">
        <x:v>2026-07-10 14:40:00</x:v>
      </x:c>
      <x:c r="G3" s="76" t="str">
        <x:v>cPP_APP_SW_V1.1</x:v>
      </x:c>
      <x:c r="H3" s="76" t="str">
        <x:v>update</x:v>
      </x:c>
      <x:c r="I3" s="76" t="str">
        <x:v>Editorial / publication</x:v>
      </x:c>
      <x:c r="J3" s="76" t="str">
        <x:v>Publication metadata and referenced versions</x:v>
      </x:c>
      <x:c r="K3" s="76" t="str">
        <x:v>Resolved</x:v>
      </x:c>
      <x:c r="L3" s="76" t="str">
        <x:v>Accept</x:v>
      </x:c>
      <x:c r="M3" s="76" t="str">
        <x:v>AppSW-iTC</x:v>
      </x:c>
      <x:c r="N3" s="76" t="str">
        <x:v>Updated the Server-Agent configuration's base cPP reference to cPP_APP_SW_V2.0.</x:v>
      </x:c>
      <x:c r="O3" s="76" t="str">
        <x:v>PP-Configuration-Server-Agent-v2.0-draft-review-BAH.pdf</x:v>
      </x:c>
    </x:row>
    <x:row r="4" ht="26.399999618530273" hidden="0" customHeight="1">
      <x:c r="A4" s="74" t="str">
        <x:v>BAH-003</x:v>
      </x:c>
      <x:c r="B4" s="74" t="str">
        <x:v>PP-Configuration-Server-Agent-v2.0-draft-review</x:v>
      </x:c>
      <x:c r="C4" s="75" t="n">
        <x:v>2</x:v>
      </x:c>
      <x:c r="D4" s="74" t="str">
        <x:v>Highlight</x:v>
      </x:c>
      <x:c r="E4" s="74" t="str">
        <x:v>525185</x:v>
      </x:c>
      <x:c r="F4" s="74" t="str">
        <x:v>2026-07-10 14:40:06</x:v>
      </x:c>
      <x:c r="G4" s="76" t="str">
        <x:v>MOD_Server_v1.1</x:v>
      </x:c>
      <x:c r="H4" s="76" t="str">
        <x:v>update</x:v>
      </x:c>
      <x:c r="I4" s="76" t="str">
        <x:v>Editorial / publication</x:v>
      </x:c>
      <x:c r="J4" s="76" t="str">
        <x:v>Publication metadata and referenced versions</x:v>
      </x:c>
      <x:c r="K4" s="76" t="str">
        <x:v>Resolved</x:v>
      </x:c>
      <x:c r="L4" s="76" t="str">
        <x:v>Accept</x:v>
      </x:c>
      <x:c r="M4" s="76" t="str">
        <x:v>AppSW-iTC</x:v>
      </x:c>
      <x:c r="N4" s="76" t="str">
        <x:v>Updated the Server-Agent configuration's Server module reference to MOD_Server_v2.0.</x:v>
      </x:c>
      <x:c r="O4" s="76" t="str">
        <x:v>PP-Configuration-Server-Agent-v2.0-draft-review-BAH.pdf</x:v>
      </x:c>
    </x:row>
    <x:row r="5" ht="26.399999618530273" hidden="0" customHeight="1">
      <x:c r="A5" s="74" t="str">
        <x:v>BAH-004</x:v>
      </x:c>
      <x:c r="B5" s="74" t="str">
        <x:v>PP-Configuration-Server-Agent-v2.0-draft-review</x:v>
      </x:c>
      <x:c r="C5" s="75" t="n">
        <x:v>2</x:v>
      </x:c>
      <x:c r="D5" s="74" t="str">
        <x:v>Highlight</x:v>
      </x:c>
      <x:c r="E5" s="74" t="str">
        <x:v>525185</x:v>
      </x:c>
      <x:c r="F5" s="74" t="str">
        <x:v>2026-07-10 14:40:14</x:v>
      </x:c>
      <x:c r="G5" s="76" t="str">
        <x:v>MOD_Agent_v1.1</x:v>
      </x:c>
      <x:c r="H5" s="76" t="str">
        <x:v>update</x:v>
      </x:c>
      <x:c r="I5" s="76" t="str">
        <x:v>Editorial / publication</x:v>
      </x:c>
      <x:c r="J5" s="76" t="str">
        <x:v>Publication metadata and referenced versions</x:v>
      </x:c>
      <x:c r="K5" s="76" t="str">
        <x:v>Resolved</x:v>
      </x:c>
      <x:c r="L5" s="76" t="str">
        <x:v>Accept</x:v>
      </x:c>
      <x:c r="M5" s="76" t="str">
        <x:v>AppSW-iTC</x:v>
      </x:c>
      <x:c r="N5" s="76" t="str">
        <x:v>Updated the Server-Agent configuration's Agent module reference to MOD_Agent_v2.0.</x:v>
      </x:c>
      <x:c r="O5" s="76" t="str">
        <x:v>PP-Configuration-Server-Agent-v2.0-draft-review-BAH.pdf</x:v>
      </x:c>
    </x:row>
    <x:row r="6" ht="66" hidden="0" customHeight="1">
      <x:c r="A6" s="74" t="str">
        <x:v>BAH-005</x:v>
      </x:c>
      <x:c r="B6" s="74" t="str">
        <x:v>PP-Configuration-Server-Agent-v2.0-draft-review</x:v>
      </x:c>
      <x:c r="C6" s="75" t="n">
        <x:v>3</x:v>
      </x:c>
      <x:c r="D6" s="74" t="str">
        <x:v>Highlight</x:v>
      </x:c>
      <x:c r="E6" s="74" t="str">
        <x:v>525185</x:v>
      </x:c>
      <x:c r="F6" s="74" t="str">
        <x:v>2026-07-10 14:46:02</x:v>
      </x:c>
      <x:c r="G6" s="76" t="str">
        <x:v>Feature Dependent The requirement applies only when the feature, selection, or objective requirement is claimed for the distributed TOE. The ST shall identify the TOE component or components that perform the relevant function, make the relevant selection, or rely on the relevant platform functionality.</x:v>
      </x:c>
      <x:c r="H6" s="76" t="str">
        <x:v>See Applicable Components comment</x:v>
      </x:c>
      <x:c r="I6" s="76" t="str">
        <x:v>TOE architecture / communication</x:v>
      </x:c>
      <x:c r="J6" s="76" t="str">
        <x:v>Distributed TOE allocation, IPC, and loopback scope</x:v>
      </x:c>
      <x:c r="K6" s="76" t="str">
        <x:v>Resolved</x:v>
      </x:c>
      <x:c r="L6" s="76" t="str">
        <x:v>Accept with adaptation</x:v>
      </x:c>
      <x:c r="M6" s="76" t="str">
        <x:v>AppSW-iTC</x:v>
      </x:c>
      <x:c r="N6" s="76" t="str">
        <x:v>Retained Applicable Components for component allocation. Feature Dependent is now explicitly a condition of applicability, not an alternative allocation that can narrow coverage.</x:v>
      </x:c>
      <x:c r="O6" s="76" t="str">
        <x:v>PP-Configuration-Server-Agent-v2.0-draft-review-BAH.pdf</x:v>
      </x:c>
    </x:row>
    <x:row r="7" ht="92.4000015258789" hidden="0" customHeight="1">
      <x:c r="A7" s="74" t="str">
        <x:v>BAH-006</x:v>
      </x:c>
      <x:c r="B7" s="74" t="str">
        <x:v>PP-Configuration-Server-Agent-v2.0-draft-review</x:v>
      </x:c>
      <x:c r="C7" s="75" t="n">
        <x:v>3</x:v>
      </x:c>
      <x:c r="D7" s="74" t="str">
        <x:v>Highlight</x:v>
      </x:c>
      <x:c r="E7" s="74" t="str">
        <x:v>525185</x:v>
      </x:c>
      <x:c r="F7" s="74" t="str">
        <x:v>2026-07-10 14:46:39</x:v>
      </x:c>
      <x:c r="G7" s="76" t="str">
        <x:v>Applicable Components Every TOE component that performs the relevant function shall satisfy the requirement. The ST shall identify the components to which the requirement applies. This category does not exclude other TOE components from the base cPP; it identifies the TOE components that have concrete implementation obligations for the SFR because they perform the relevant function, make the relevant selection, or rely on the relevant platform functionality.</x:v>
      </x:c>
      <x:c r="H7" s="76" t="str">
        <x:v>I believe this and Feature Dependent can be combined to a single concept. The recommendation of Feature Dependent was this term has been used in other PPs already.</x:v>
      </x:c>
      <x:c r="I7" s="76" t="str">
        <x:v>Clarification / rationale</x:v>
      </x:c>
      <x:c r="J7" s="76" t="str">
        <x:v>Distributed TOE allocation, IPC, and loopback scope</x:v>
      </x:c>
      <x:c r="K7" s="76" t="str">
        <x:v>Resolved</x:v>
      </x:c>
      <x:c r="L7" s="76" t="str">
        <x:v>Accept with adaptation</x:v>
      </x:c>
      <x:c r="M7" s="76" t="str">
        <x:v>AppSW-iTC</x:v>
      </x:c>
      <x:c r="N7" s="76" t="str">
        <x:v>Clarified the two-stage model: a feature or selection determines whether an SFR is claimed; Applicable Components identifies every component with a concrete obligation once it is claimed.</x:v>
      </x:c>
      <x:c r="O7" s="76" t="str">
        <x:v>PP-Configuration-Server-Agent-v2.0-draft-review-BAH.pdf</x:v>
      </x:c>
    </x:row>
    <x:row r="8" ht="211.1999969482422" hidden="0" customHeight="1">
      <x:c r="A8" s="74" t="str">
        <x:v>BAH-007</x:v>
      </x:c>
      <x:c r="B8" s="74" t="str">
        <x:v>PP-Configuration-Server-Agent-v2.0-draft-review</x:v>
      </x:c>
      <x:c r="C8" s="75" t="n">
        <x:v>3</x:v>
      </x:c>
      <x:c r="D8" s="74" t="str">
        <x:v>Highlight</x:v>
      </x:c>
      <x:c r="E8" s="74" t="str">
        <x:v>525185</x:v>
      </x:c>
      <x:c r="F8" s="74" t="str">
        <x:v>2026-07-10 16:10:23</x:v>
      </x:c>
      <x:c r="G8" s="76" t="str">
        <x:v>The ST shall provide an SFR allocation rationale that identifies whether each claimed requirement is satisfied by all TOE components, by applicable TOE components that perform the relevant function, by at least one TOE component, as a feature dependent requirement, or by an allowed operational environment dependency. The ST shall describe all inter-component TOE communications and identify the mechanisms used to authorize and protect those communications. Communication between TOE components that uses a network interface or network protocol stack is treated as transmitted data for FTP_DIT_EXT.1 regardless of whether the route is loopback, same-host virtual networking, container networking, a LAN, or a WAN. Non- network local inter-process communication, such as named pipes, Unix domain sockets, shared memory, platform-brokered IPC, or equivalent mechanisms, shall be identified in the ST and mapped to the applicable base cPP controls, platform access controls, object permissions, isolation mechanisms, configuration controls, or operational guidance.</x:v>
      </x:c>
      <x:c r="H8" s="76" t="str">
        <x:v>See comments in the base PP</x:v>
      </x:c>
      <x:c r="I8" s="76" t="str">
        <x:v>Requirement alignment</x:v>
      </x:c>
      <x:c r="J8" s="76" t="str">
        <x:v>Distributed TOE allocation, IPC, and loopback scope</x:v>
      </x:c>
      <x:c r="K8" s="76" t="str">
        <x:v>Resolved</x:v>
      </x:c>
      <x:c r="L8" s="76" t="str">
        <x:v>Accept with adaptation</x:v>
      </x:c>
      <x:c r="M8" s="76" t="str">
        <x:v>AppSW-iTC</x:v>
      </x:c>
      <x:c r="N8" s="76" t="str">
        <x:v>Reframed the allocation rationale around allocation category plus feature-dependent condition, retained network-stack coverage independent of locality, and limited non-network IPC documentation to architecture-level protection unless an SFR or EA needs more detail.</x:v>
      </x:c>
      <x:c r="O8" s="76" t="str">
        <x:v>PP-Configuration-Server-Agent-v2.0-draft-review-BAH.pdf</x:v>
      </x:c>
    </x:row>
    <x:row r="9" ht="66" hidden="0" customHeight="1">
      <x:c r="A9" s="74" t="str">
        <x:v>BAH-008</x:v>
      </x:c>
      <x:c r="B9" s="74" t="str">
        <x:v>PP-Configuration-Server-Agent-v2.0-draft-review</x:v>
      </x:c>
      <x:c r="C9" s="75" t="n">
        <x:v>3</x:v>
      </x:c>
      <x:c r="D9" s="74" t="str">
        <x:v>Highlight</x:v>
      </x:c>
      <x:c r="E9" s="74" t="str">
        <x:v>525185</x:v>
      </x:c>
      <x:c r="F9" s="74" t="str">
        <x:v>2026-07-10 16:15:53</x:v>
      </x:c>
      <x:c r="G9" s="76" t="str">
        <x:v>Every TOE component that performs the relevant function shall satisfy the requirement. The</x:v>
      </x:c>
      <x:c r="H9" s="76" t="str">
        <x:v>It is possible that an SFR (e.g., FCO_CPC) is only partly met with one component and another component meets another part. This could be applied that the SFR must fully be met on both components. Recommend using the standard language for Feature Dependent only.</x:v>
      </x:c>
      <x:c r="I9" s="76" t="str">
        <x:v>Requirement alignment</x:v>
      </x:c>
      <x:c r="J9" s="76" t="str">
        <x:v>Distributed TOE allocation, IPC, and loopback scope</x:v>
      </x:c>
      <x:c r="K9" s="76" t="str">
        <x:v>Resolved</x:v>
      </x:c>
      <x:c r="L9" s="76" t="str">
        <x:v>Accept with adaptation</x:v>
      </x:c>
      <x:c r="M9" s="76" t="str">
        <x:v>AppSW-iTC</x:v>
      </x:c>
      <x:c r="N9" s="76" t="str">
        <x:v>Specified element-level allocation. Components need satisfy only the SFR elements they implement, while the evaluation evidence jointly covers every allocated element and cannot be satisfied by a representative component without demonstrated equivalence.</x:v>
      </x:c>
      <x:c r="O9" s="76" t="str">
        <x:v>PP-Configuration-Server-Agent-v2.0-draft-review-BAH.pdf</x:v>
      </x:c>
    </x:row>
    <x:row r="10" ht="26.399999618530273" hidden="0" customHeight="1">
      <x:c r="A10" s="74" t="str">
        <x:v>BAH-009</x:v>
      </x:c>
      <x:c r="B10" s="74" t="str">
        <x:v>PP-Configuration-Server-v2.0-draft-review</x:v>
      </x:c>
      <x:c r="C10" s="75" t="n">
        <x:v>2</x:v>
      </x:c>
      <x:c r="D10" s="74" t="str">
        <x:v>Highlight</x:v>
      </x:c>
      <x:c r="E10" s="74" t="str">
        <x:v>525185</x:v>
      </x:c>
      <x:c r="F10" s="74" t="str">
        <x:v>2026-07-10 14:38:30</x:v>
      </x:c>
      <x:c r="G10" s="76" t="str">
        <x:v>cPP_APP_SW_V1.0</x:v>
      </x:c>
      <x:c r="H10" s="76" t="str">
        <x:v>update</x:v>
      </x:c>
      <x:c r="I10" s="76" t="str">
        <x:v>Editorial / publication</x:v>
      </x:c>
      <x:c r="J10" s="76" t="str">
        <x:v>Publication metadata and referenced versions</x:v>
      </x:c>
      <x:c r="K10" s="76" t="str">
        <x:v>Resolved</x:v>
      </x:c>
      <x:c r="L10" s="76" t="str">
        <x:v>Accept</x:v>
      </x:c>
      <x:c r="M10" s="76" t="str">
        <x:v>AppSW-iTC</x:v>
      </x:c>
      <x:c r="N10" s="76" t="str">
        <x:v>Updated the Server configuration title, version, date, and shorthand identifier to Version 2.0 draft-review values.</x:v>
      </x:c>
      <x:c r="O10" s="76" t="str">
        <x:v>PP-Configuration-Server-v2.0-draft-review_BAH.pdf</x:v>
      </x:c>
    </x:row>
    <x:row r="11" ht="26.399999618530273" hidden="0" customHeight="1">
      <x:c r="A11" s="74" t="str">
        <x:v>BAH-010</x:v>
      </x:c>
      <x:c r="B11" s="74" t="str">
        <x:v>PP-Configuration-Server-v2.0-draft-review</x:v>
      </x:c>
      <x:c r="C11" s="75" t="n">
        <x:v>2</x:v>
      </x:c>
      <x:c r="D11" s="74" t="str">
        <x:v>Highlight</x:v>
      </x:c>
      <x:c r="E11" s="74" t="str">
        <x:v>525185</x:v>
      </x:c>
      <x:c r="F11" s="74" t="str">
        <x:v>2026-07-10 14:38:37</x:v>
      </x:c>
      <x:c r="G11" s="76" t="str">
        <x:v>MOD_Server_v1.0</x:v>
      </x:c>
      <x:c r="H11" s="76" t="str">
        <x:v>update</x:v>
      </x:c>
      <x:c r="I11" s="76" t="str">
        <x:v>Editorial / publication</x:v>
      </x:c>
      <x:c r="J11" s="76" t="str">
        <x:v>Publication metadata and referenced versions</x:v>
      </x:c>
      <x:c r="K11" s="76" t="str">
        <x:v>Resolved</x:v>
      </x:c>
      <x:c r="L11" s="76" t="str">
        <x:v>Accept</x:v>
      </x:c>
      <x:c r="M11" s="76" t="str">
        <x:v>AppSW-iTC</x:v>
      </x:c>
      <x:c r="N11" s="76" t="str">
        <x:v>Updated the Server configuration's base cPP reference to cPP_APP_SW_V2.0.</x:v>
      </x:c>
      <x:c r="O11" s="76" t="str">
        <x:v>PP-Configuration-Server-v2.0-draft-review_BAH.pdf</x:v>
      </x:c>
    </x:row>
    <x:row r="12" ht="39.599998474121094" hidden="0" customHeight="1">
      <x:c r="A12" s="74" t="str">
        <x:v>BAH-011</x:v>
      </x:c>
      <x:c r="B12" s="74" t="str">
        <x:v>PP-Configuration-Server-v2.0-draft-review</x:v>
      </x:c>
      <x:c r="C12" s="75" t="n">
        <x:v>2</x:v>
      </x:c>
      <x:c r="D12" s="74" t="str">
        <x:v>Highlight</x:v>
      </x:c>
      <x:c r="E12" s="74" t="str">
        <x:v>525185</x:v>
      </x:c>
      <x:c r="F12" s="74" t="str">
        <x:v>2026-07-10 14:39:15</x:v>
      </x:c>
      <x:c r="G12" s="76" t="str">
        <x:v>PP-Configuration for Enterprise Server Applications, Version 1.0e, 2024-02-15 • As a shorthand reference, it can be identified as "CFG_APP-Server_V1.0e""</x:v>
      </x:c>
      <x:c r="H12" s="76" t="str">
        <x:v>update</x:v>
      </x:c>
      <x:c r="I12" s="76" t="str">
        <x:v>Editorial / publication</x:v>
      </x:c>
      <x:c r="J12" s="76" t="str">
        <x:v>Publication metadata and referenced versions</x:v>
      </x:c>
      <x:c r="K12" s="76" t="str">
        <x:v>Resolved</x:v>
      </x:c>
      <x:c r="L12" s="76" t="str">
        <x:v>Accept</x:v>
      </x:c>
      <x:c r="M12" s="76" t="str">
        <x:v>AppSW-iTC</x:v>
      </x:c>
      <x:c r="N12" s="76" t="str">
        <x:v>Updated the Server configuration's Server module reference to MOD_Server_v2.0.</x:v>
      </x:c>
      <x:c r="O12" s="76" t="str">
        <x:v>PP-Configuration-Server-v2.0-draft-review_BAH.pdf</x:v>
      </x:c>
    </x:row>
    <x:row r="13" ht="26.399999618530273" hidden="0" customHeight="1">
      <x:c r="A13" s="74" t="str">
        <x:v>BAH-012</x:v>
      </x:c>
      <x:c r="B13" s="74" t="str">
        <x:v>PP-Module-Agent-v2.0-draft-review</x:v>
      </x:c>
      <x:c r="C13" s="75" t="n">
        <x:v>3</x:v>
      </x:c>
      <x:c r="D13" s="74" t="str">
        <x:v>Highlight</x:v>
      </x:c>
      <x:c r="E13" s="74" t="str">
        <x:v>525185</x:v>
      </x:c>
      <x:c r="F13" s="74" t="str">
        <x:v>2026-07-10 14:17:59</x:v>
      </x:c>
      <x:c r="G13" s="76" t="str">
        <x:v>• PP-Module Reference: collaborative PP-Module for Agent Applications • PP-Module Version: 1.0e • PP-Module Date: 2023-02-15</x:v>
      </x:c>
      <x:c r="H13" s="76" t="str">
        <x:v>Update</x:v>
      </x:c>
      <x:c r="I13" s="76" t="str">
        <x:v>Editorial / publication</x:v>
      </x:c>
      <x:c r="J13" s="76" t="str">
        <x:v>Publication metadata and referenced versions</x:v>
      </x:c>
      <x:c r="K13" s="76" t="str">
        <x:v>Resolved</x:v>
      </x:c>
      <x:c r="L13" s="76" t="str">
        <x:v>Accept</x:v>
      </x:c>
      <x:c r="M13" s="76" t="str">
        <x:v>AppSW-iTC</x:v>
      </x:c>
      <x:c r="N13" s="76" t="str">
        <x:v>Updated Agent PP-Module metadata and revision history to Version 2.0 draft-review values.</x:v>
      </x:c>
      <x:c r="O13" s="76" t="str">
        <x:v>PP-Module-Agent-v2.0-draft-review-BAH.pdf</x:v>
      </x:c>
    </x:row>
    <x:row r="14" ht="26.399999618530273" hidden="0" customHeight="1">
      <x:c r="A14" s="74" t="str">
        <x:v>BAH-013</x:v>
      </x:c>
      <x:c r="B14" s="74" t="str">
        <x:v>PP-Module-Agent-v2.0-draft-review</x:v>
      </x:c>
      <x:c r="C14" s="75" t="n">
        <x:v>5</x:v>
      </x:c>
      <x:c r="D14" s="74" t="str">
        <x:v>Highlight</x:v>
      </x:c>
      <x:c r="E14" s="74" t="str">
        <x:v>525185</x:v>
      </x:c>
      <x:c r="F14" s="74" t="str">
        <x:v>2026-07-10 14:23:17</x:v>
      </x:c>
      <x:c r="G14" s="76" t="str">
        <x:v>FCO_CPC_EXT.1/Agent</x:v>
      </x:c>
      <x:c r="H14" s="76" t="str">
        <x:v>Delete "/Agent" from all uses of this SFR as there is no need for a iteration.</x:v>
      </x:c>
      <x:c r="I14" s="76" t="str">
        <x:v>Editorial / publication</x:v>
      </x:c>
      <x:c r="J14" s="76" t="str">
        <x:v>Agent terminology and SFR iteration cleanup</x:v>
      </x:c>
      <x:c r="K14" s="76" t="str">
        <x:v>Resolved</x:v>
      </x:c>
      <x:c r="L14" s="76" t="str">
        <x:v>Accept</x:v>
      </x:c>
      <x:c r="M14" s="76" t="str">
        <x:v>AppSW-iTC</x:v>
      </x:c>
      <x:c r="N14" s="76" t="str">
        <x:v>Removed the /Agent suffix from FCO_CPC_EXT.1 because it is not an iteration.</x:v>
      </x:c>
      <x:c r="O14" s="76" t="str">
        <x:v>PP-Module-Agent-v2.0-draft-review-BAH.pdf</x:v>
      </x:c>
    </x:row>
    <x:row r="15" ht="26.399999618530273" hidden="0" customHeight="1">
      <x:c r="A15" s="74" t="str">
        <x:v>BAH-014</x:v>
      </x:c>
      <x:c r="B15" s="74" t="str">
        <x:v>PP-Module-Server-v2.0-draft-review</x:v>
      </x:c>
      <x:c r="C15" s="75" t="n">
        <x:v>4</x:v>
      </x:c>
      <x:c r="D15" s="74" t="str">
        <x:v>Highlight</x:v>
      </x:c>
      <x:c r="E15" s="74" t="str">
        <x:v>525185</x:v>
      </x:c>
      <x:c r="F15" s="74" t="str">
        <x:v>2026-07-10 13:39:44</x:v>
      </x:c>
      <x:c r="G15" s="76" t="str">
        <x:v>• PP-Module Reference: collaborative PP-Module for Server Applications • PP-Module Version: 1.0e • PP-Module Date: 2024-02-15</x:v>
      </x:c>
      <x:c r="H15" s="76" t="str">
        <x:v>Update</x:v>
      </x:c>
      <x:c r="I15" s="76" t="str">
        <x:v>Editorial / publication</x:v>
      </x:c>
      <x:c r="J15" s="76" t="str">
        <x:v>Publication metadata and referenced versions</x:v>
      </x:c>
      <x:c r="K15" s="76" t="str">
        <x:v>Resolved</x:v>
      </x:c>
      <x:c r="L15" s="76" t="str">
        <x:v>Accept</x:v>
      </x:c>
      <x:c r="M15" s="76" t="str">
        <x:v>AppSW-iTC</x:v>
      </x:c>
      <x:c r="N15" s="76" t="str">
        <x:v>Updated Server PP-Module metadata and revision history to Version 2.0 draft-review values.</x:v>
      </x:c>
      <x:c r="O15" s="76" t="str">
        <x:v>PP-Module-Server-v2.0-draft-review-BAH.pdf</x:v>
      </x:c>
    </x:row>
    <x:row r="16" ht="39.599998474121094" hidden="0" customHeight="1">
      <x:c r="A16" s="74" t="str">
        <x:v>BAH-015</x:v>
      </x:c>
      <x:c r="B16" s="74" t="str">
        <x:v>PP-Module-Server-v2.0-draft-review</x:v>
      </x:c>
      <x:c r="C16" s="75" t="n">
        <x:v>9</x:v>
      </x:c>
      <x:c r="D16" s="74" t="str">
        <x:v>Highlight</x:v>
      </x:c>
      <x:c r="E16" s="74" t="str">
        <x:v>525185</x:v>
      </x:c>
      <x:c r="F16" s="74" t="str">
        <x:v>2026-07-10 15:07:18</x:v>
      </x:c>
      <x:c r="G16" s="76" t="str">
        <x:v>The assignment in FPT_AEX_EXT.1.3 in the Collaborative Protection Profile for Application Software must be "no exceptions".</x:v>
      </x:c>
      <x:c r="H16" s="76" t="str">
        <x:v>the base PP does not seem to allow exceptions for this one.</x:v>
      </x:c>
      <x:c r="I16" s="76" t="str">
        <x:v>Requirement alignment</x:v>
      </x:c>
      <x:c r="J16" s="76" t="str">
        <x:v>Server module alignment with the base cPP</x:v>
      </x:c>
      <x:c r="K16" s="76" t="str">
        <x:v>Resolved</x:v>
      </x:c>
      <x:c r="L16" s="76" t="str">
        <x:v>Accept</x:v>
      </x:c>
      <x:c r="M16" s="76" t="str">
        <x:v>AppSW-iTC</x:v>
      </x:c>
      <x:c r="N16" s="76" t="str">
        <x:v>Removed the inaccurate statement that FPT_AEX_EXT.1.3 contains a no-exceptions assignment; the cited base requirement has no such assignment.</x:v>
      </x:c>
      <x:c r="O16" s="76" t="str">
        <x:v>PP-Module-Server-v2.0-draft-review-BAH.pdf</x:v>
      </x:c>
    </x:row>
    <x:row r="17" ht="66" hidden="0" customHeight="1">
      <x:c r="A17" s="74" t="str">
        <x:v>BAH-016</x:v>
      </x:c>
      <x:c r="B17" s="74" t="str">
        <x:v>PP-Module-Server-v2.0-draft-review</x:v>
      </x:c>
      <x:c r="C17" s="75" t="n">
        <x:v>9</x:v>
      </x:c>
      <x:c r="D17" s="74" t="str">
        <x:v>Highlight</x:v>
      </x:c>
      <x:c r="E17" s="74" t="str">
        <x:v>525185</x:v>
      </x:c>
      <x:c r="F17" s="74" t="str">
        <x:v>2026-07-10 15:07:46</x:v>
      </x:c>
      <x:c r="G17" s="76" t="str">
        <x:v>FPT_AEX_EXT.2.1/Server The application shall be compatible with security features provided by the platform vendor.</x:v>
      </x:c>
      <x:c r="H17" s="76" t="str">
        <x:v>Unsure added value of this requirement from the base PP. Perhaps it was more applicable previously.</x:v>
      </x:c>
      <x:c r="I17" s="76" t="str">
        <x:v>Requirement alignment</x:v>
      </x:c>
      <x:c r="J17" s="76" t="str">
        <x:v>Server module alignment with the base cPP</x:v>
      </x:c>
      <x:c r="K17" s="76" t="str">
        <x:v>Resolved</x:v>
      </x:c>
      <x:c r="L17" s="76" t="str">
        <x:v>Clarify with reviewer</x:v>
      </x:c>
      <x:c r="M17" s="76" t="str">
        <x:v>AppSW-iTC</x:v>
      </x:c>
      <x:c r="N17" s="76" t="str">
        <x:v>Retained the Server refinement because containerized Server payloads need evidence that the mandatory-access-control profile reaches the actual payload. The common platform test remains in the base cPP; the Server EA adds only the container-specific evidence.</x:v>
      </x:c>
      <x:c r="O17" s="76" t="str">
        <x:v>PP-Module-Server-v2.0-draft-review-BAH.pdf</x:v>
      </x:c>
    </x:row>
    <x:row r="18" ht="92.4000015258789" hidden="0" customHeight="1">
      <x:c r="A18" s="74" t="str">
        <x:v>BAH-017</x:v>
      </x:c>
      <x:c r="B18" s="74" t="str">
        <x:v>SD-Application-Software-v2.0-draft-review</x:v>
      </x:c>
      <x:c r="C18" s="75" t="n">
        <x:v>15</x:v>
      </x:c>
      <x:c r="D18" s="74" t="str">
        <x:v>Highlight</x:v>
      </x:c>
      <x:c r="E18" s="74" t="str">
        <x:v>525185</x:v>
      </x:c>
      <x:c r="F18" s="74" t="str">
        <x:v>2026-07-08 23:02:06</x:v>
      </x:c>
      <x:c r="G18" s="76" t="str">
        <x:v>The evaluator shall determine and verify that Windows Universal Applications use either the Windows.Storage namespace, Windows.UI.ApplicationSettings namespace, or the IsolatedStorageSettings namespace for storing application specific settings. For .NET applications, the evaluator shall determine and verify that the application uses one of the locations listed in</x:v>
      </x:c>
      <x:c r="H18" s="76" t="str">
        <x:v>TD 1026 needs to be updated to "The evaluator shall determine and verify that Windows Universal Applications use either the Windows.Storage namespace, Windows. UI.ApplicationSettings namespace, or the IsolatedStorageSettings namespace for storing application specific settings. If a .NET application is implemented as a UWP application, it shall be evaluated using these UWP requirements. For .NET applications that do not use the UWP application model and do not operate as Classic Desktop applications, the evaluator shall determine and verify that the application uses one of the locations listed in"</x:v>
      </x:c>
      <x:c r="I18" s="76" t="str">
        <x:v>Editorial / publication</x:v>
      </x:c>
      <x:c r="J18" s="76" t="str">
        <x:v>Managed runtime / application framework scope</x:v>
      </x:c>
      <x:c r="K18" s="76" t="str">
        <x:v>Resolved</x:v>
      </x:c>
      <x:c r="L18" s="76" t="str">
        <x:v>Accept</x:v>
      </x:c>
      <x:c r="M18" s="76" t="str">
        <x:v>AppSW-iTC</x:v>
      </x:c>
      <x:c r="N18" s="76" t="str">
        <x:v>Incorporated the TD1026 wording for UWP .NET applications and the non-UWP/non-Classic-Desktop case.</x:v>
      </x:c>
      <x:c r="O18" s="76" t="str">
        <x:v>SD-Application-Software-v2.0-draft-review - BAH.pdf</x:v>
      </x:c>
    </x:row>
    <x:row r="19" ht="26.399999618530273" hidden="0" customHeight="1">
      <x:c r="A19" s="74" t="str">
        <x:v>BAH-018</x:v>
      </x:c>
      <x:c r="B19" s="74" t="str">
        <x:v>SD-Application-Software-v2.0-draft-review</x:v>
      </x:c>
      <x:c r="C19" s="75" t="n">
        <x:v>15</x:v>
      </x:c>
      <x:c r="D19" s="74" t="str">
        <x:v>Highlight</x:v>
      </x:c>
      <x:c r="E19" s="74" t="str">
        <x:v>525185</x:v>
      </x:c>
      <x:c r="F19" s="74" t="str">
        <x:v>2026-07-10 15:53:52</x:v>
      </x:c>
      <x:c r="G19" s="76" t="str">
        <x:v>For applications that rely on managed runtimes or application frameworks</x:v>
      </x:c>
      <x:c r="H19" s="76" t="str">
        <x:v>Change to "For managed runtime or application framework based TOEs"</x:v>
      </x:c>
      <x:c r="I19" s="76" t="str">
        <x:v>Clarification / rationale</x:v>
      </x:c>
      <x:c r="J19" s="76" t="str">
        <x:v>Managed runtime / application framework scope</x:v>
      </x:c>
      <x:c r="K19" s="76" t="str">
        <x:v>Resolved</x:v>
      </x:c>
      <x:c r="L19" s="76" t="str">
        <x:v>Accept</x:v>
      </x:c>
      <x:c r="M19" s="76" t="str">
        <x:v>AppSW-iTC</x:v>
      </x:c>
      <x:c r="N19" s="76" t="str">
        <x:v>Recast the affected text as applying to managed runtime or application framework based TOEs.</x:v>
      </x:c>
      <x:c r="O19" s="76" t="str">
        <x:v>SD-Application-Software-v2.0-draft-review - BAH.pdf</x:v>
      </x:c>
    </x:row>
    <x:row r="20" ht="26.399999618530273" hidden="0" customHeight="1">
      <x:c r="A20" s="74" t="str">
        <x:v>BAH-019</x:v>
      </x:c>
      <x:c r="B20" s="74" t="str">
        <x:v>SD-Application-Software-v2.0-draft-review</x:v>
      </x:c>
      <x:c r="C20" s="75" t="n">
        <x:v>15</x:v>
      </x:c>
      <x:c r="D20" s="74" t="str">
        <x:v>Highlight</x:v>
      </x:c>
      <x:c r="E20" s="74" t="str">
        <x:v>525185</x:v>
      </x:c>
      <x:c r="F20" s="74" t="str">
        <x:v>2026-07-10 15:54:57</x:v>
      </x:c>
      <x:c r="G20" s="76" t="str">
        <x:v>guidance documentation contains any information necessary to configure If the TOE relies on a managed runtime or application framework,</x:v>
      </x:c>
      <x:c r="H20" s="76" t="str">
        <x:v>Change to "For managed runtime or application framework based TOEs, "</x:v>
      </x:c>
      <x:c r="I20" s="76" t="str">
        <x:v>Clarification / rationale</x:v>
      </x:c>
      <x:c r="J20" s="76" t="str">
        <x:v>Managed runtime / application framework scope</x:v>
      </x:c>
      <x:c r="K20" s="76" t="str">
        <x:v>Resolved</x:v>
      </x:c>
      <x:c r="L20" s="76" t="str">
        <x:v>Accept</x:v>
      </x:c>
      <x:c r="M20" s="76" t="str">
        <x:v>AppSW-iTC</x:v>
      </x:c>
      <x:c r="N20" s="76" t="str">
        <x:v>Recast the affected text as applying to managed runtime or application framework based TOEs.</x:v>
      </x:c>
      <x:c r="O20" s="76" t="str">
        <x:v>SD-Application-Software-v2.0-draft-review - BAH.pdf</x:v>
      </x:c>
    </x:row>
    <x:row r="21" ht="26.399999618530273" hidden="0" customHeight="1">
      <x:c r="A21" s="74" t="str">
        <x:v>BAH-020</x:v>
      </x:c>
      <x:c r="B21" s="74" t="str">
        <x:v>SD-Application-Software-v2.0-draft-review</x:v>
      </x:c>
      <x:c r="C21" s="75" t="n">
        <x:v>16</x:v>
      </x:c>
      <x:c r="D21" s="74" t="str">
        <x:v>Text</x:v>
      </x:c>
      <x:c r="E21" s="74" t="str">
        <x:v>525185</x:v>
      </x:c>
      <x:c r="F21" s="74" t="str">
        <x:v>2026-07-08 23:02:17</x:v>
      </x:c>
      <x:c r="G21" s="76" t="str">
        <x:v>applications, the Monitor and</x:v>
      </x:c>
      <x:c r="H21" s="76" t="str">
        <x:v>TD1026 needs to be updated to add "(including those implemented in .NET)"</x:v>
      </x:c>
      <x:c r="I21" s="76" t="str">
        <x:v>Editorial / publication</x:v>
      </x:c>
      <x:c r="J21" s="76" t="str">
        <x:v>Managed runtime / application framework scope</x:v>
      </x:c>
      <x:c r="K21" s="76" t="str">
        <x:v>Resolved</x:v>
      </x:c>
      <x:c r="L21" s="76" t="str">
        <x:v>Accept</x:v>
      </x:c>
      <x:c r="M21" s="76" t="str">
        <x:v>AppSW-iTC</x:v>
      </x:c>
      <x:c r="N21" s="76" t="str">
        <x:v>Clarified that Classic Desktop applications include those implemented in .NET.</x:v>
      </x:c>
      <x:c r="O21" s="76" t="str">
        <x:v>SD-Application-Software-v2.0-draft-review - BAH.pdf</x:v>
      </x:c>
    </x:row>
    <x:row r="22" ht="26.399999618530273" hidden="0" customHeight="1">
      <x:c r="A22" s="74" t="str">
        <x:v>BAH-021</x:v>
      </x:c>
      <x:c r="B22" s="74" t="str">
        <x:v>SD-Application-Software-v2.0-draft-review</x:v>
      </x:c>
      <x:c r="C22" s="75" t="n">
        <x:v>18</x:v>
      </x:c>
      <x:c r="D22" s="74" t="str">
        <x:v>Highlight</x:v>
      </x:c>
      <x:c r="E22" s="74" t="str">
        <x:v>525185</x:v>
      </x:c>
      <x:c r="F22" s="74" t="str">
        <x:v>2026-07-10 15:56:07</x:v>
      </x:c>
      <x:c r="G22" s="76" t="str">
        <x:v>If the application uses a managed runtime or application framework</x:v>
      </x:c>
      <x:c r="H22" s="76" t="str">
        <x:v>Change to "For managed runtime or application framework based TOEs "</x:v>
      </x:c>
      <x:c r="I22" s="76" t="str">
        <x:v>Clarification / rationale</x:v>
      </x:c>
      <x:c r="J22" s="76" t="str">
        <x:v>Managed runtime / application framework scope</x:v>
      </x:c>
      <x:c r="K22" s="76" t="str">
        <x:v>Resolved</x:v>
      </x:c>
      <x:c r="L22" s="76" t="str">
        <x:v>Accept</x:v>
      </x:c>
      <x:c r="M22" s="76" t="str">
        <x:v>AppSW-iTC</x:v>
      </x:c>
      <x:c r="N22" s="76" t="str">
        <x:v>Recast the affected text as applying to managed runtime or application framework based TOEs.</x:v>
      </x:c>
      <x:c r="O22" s="76" t="str">
        <x:v>SD-Application-Software-v2.0-draft-review - BAH.pdf</x:v>
      </x:c>
    </x:row>
    <x:row r="23" ht="52.79999923706055" hidden="0" customHeight="1">
      <x:c r="A23" s="74" t="str">
        <x:v>BAH-022</x:v>
      </x:c>
      <x:c r="B23" s="74" t="str">
        <x:v>SD-Application-Software-v2.0-draft-review</x:v>
      </x:c>
      <x:c r="C23" s="75" t="n">
        <x:v>18</x:v>
      </x:c>
      <x:c r="D23" s="74" t="str">
        <x:v>Highlight</x:v>
      </x:c>
      <x:c r="E23" s="74" t="str">
        <x:v>525185</x:v>
      </x:c>
      <x:c r="F23" s="74" t="str">
        <x:v>2026-07-10 16:00:29</x:v>
      </x:c>
      <x:c r="G23" s="76" t="str">
        <x:v>FFI, native plug-ins, or equivalent mechanisms, the evaluator shall verify that the TSS identifies those mechanisms and describes whether they are included in the TOE boundary, bundled with the TOE, or provided by the operational environment.</x:v>
      </x:c>
      <x:c r="H23" s="76" t="str">
        <x:v>Should only apply when part of the TOE boundary.</x:v>
      </x:c>
      <x:c r="I23" s="76" t="str">
        <x:v>Clarification / rationale</x:v>
      </x:c>
      <x:c r="J23" s="76" t="str">
        <x:v>Managed runtime / application framework scope</x:v>
      </x:c>
      <x:c r="K23" s="76" t="str">
        <x:v>Resolved</x:v>
      </x:c>
      <x:c r="L23" s="76" t="str">
        <x:v>Accept</x:v>
      </x:c>
      <x:c r="M23" s="76" t="str">
        <x:v>AppSW-iTC</x:v>
      </x:c>
      <x:c r="N23" s="76" t="str">
        <x:v>Narrowed the JIT/native-interface treatment to mechanisms within the TOE boundary.</x:v>
      </x:c>
      <x:c r="O23" s="76" t="str">
        <x:v>SD-Application-Software-v2.0-draft-review - BAH.pdf</x:v>
      </x:c>
    </x:row>
    <x:row r="24" ht="26.399999618530273" hidden="0" customHeight="1">
      <x:c r="A24" s="74" t="str">
        <x:v>BAH-023</x:v>
      </x:c>
      <x:c r="B24" s="74" t="str">
        <x:v>SD-Application-Software-v2.0-draft-review</x:v>
      </x:c>
      <x:c r="C24" s="75" t="n">
        <x:v>22</x:v>
      </x:c>
      <x:c r="D24" s="74" t="str">
        <x:v>Highlight</x:v>
      </x:c>
      <x:c r="E24" s="74" t="str">
        <x:v>525185</x:v>
      </x:c>
      <x:c r="F24" s="74" t="str">
        <x:v>2026-07-10 15:56:45</x:v>
      </x:c>
      <x:c r="G24" s="76" t="str">
        <x:v>If the TOE relies on managed runtimes or application frameworks</x:v>
      </x:c>
      <x:c r="H24" s="76" t="str">
        <x:v>Change to "For managed runtime or application framework based TOEs "</x:v>
      </x:c>
      <x:c r="I24" s="76" t="str">
        <x:v>Clarification / rationale</x:v>
      </x:c>
      <x:c r="J24" s="76" t="str">
        <x:v>Managed runtime / application framework scope</x:v>
      </x:c>
      <x:c r="K24" s="76" t="str">
        <x:v>Resolved</x:v>
      </x:c>
      <x:c r="L24" s="76" t="str">
        <x:v>Accept</x:v>
      </x:c>
      <x:c r="M24" s="76" t="str">
        <x:v>AppSW-iTC</x:v>
      </x:c>
      <x:c r="N24" s="76" t="str">
        <x:v>Recast the affected text as applying to managed runtime or application framework based TOEs.</x:v>
      </x:c>
      <x:c r="O24" s="76" t="str">
        <x:v>SD-Application-Software-v2.0-draft-review - BAH.pdf</x:v>
      </x:c>
    </x:row>
    <x:row r="25" ht="39.599998474121094" hidden="0" customHeight="1">
      <x:c r="A25" s="74" t="str">
        <x:v>BAH-024</x:v>
      </x:c>
      <x:c r="B25" s="74" t="str">
        <x:v>SD-Application-Software-v2.0-draft-review</x:v>
      </x:c>
      <x:c r="C25" s="75" t="n">
        <x:v>22</x:v>
      </x:c>
      <x:c r="D25" s="74" t="str">
        <x:v>Highlight</x:v>
      </x:c>
      <x:c r="E25" s="74" t="str">
        <x:v>525185</x:v>
      </x:c>
      <x:c r="F25" s="74" t="str">
        <x:v>2026-07-10 16:04:10</x:v>
      </x:c>
      <x:c r="G25" s="76" t="str">
        <x:v>the evaluator shall verify that the TSS identifies each runtime or framework bundled with the TOE, or required from the operational environment.</x:v>
      </x:c>
      <x:c r="H25" s="76" t="str">
        <x:v>Remove. Bundled with the TOE is same as within the TOE boundary. OE runtimes and app frameworks should not have libraries documented. Should only apply when part of the TOE boundary.</x:v>
      </x:c>
      <x:c r="I25" s="76" t="str">
        <x:v>Clarification / rationale</x:v>
      </x:c>
      <x:c r="J25" s="76" t="str">
        <x:v>Managed runtime / application framework scope</x:v>
      </x:c>
      <x:c r="K25" s="76" t="str">
        <x:v>Resolved</x:v>
      </x:c>
      <x:c r="L25" s="76" t="str">
        <x:v>Accept</x:v>
      </x:c>
      <x:c r="M25" s="76" t="str">
        <x:v>AppSW-iTC</x:v>
      </x:c>
      <x:c r="N25" s="76" t="str">
        <x:v>Limited third-party-library and runtime treatment to artifacts within the TOE boundary and removed the operational-environment runtime documentation burden.</x:v>
      </x:c>
      <x:c r="O25" s="76" t="str">
        <x:v>SD-Application-Software-v2.0-draft-review - BAH.pdf</x:v>
      </x:c>
    </x:row>
    <x:row r="26" ht="26.399999618530273" hidden="0" customHeight="1">
      <x:c r="A26" s="74" t="str">
        <x:v>BAH-025</x:v>
      </x:c>
      <x:c r="B26" s="74" t="str">
        <x:v>SD-Module-Agent-v2.0-draft-review</x:v>
      </x:c>
      <x:c r="C26" s="75" t="n">
        <x:v>1</x:v>
      </x:c>
      <x:c r="D26" s="74" t="str">
        <x:v>Highlight</x:v>
      </x:c>
      <x:c r="E26" s="74" t="str">
        <x:v>525185</x:v>
      </x:c>
      <x:c r="F26" s="74" t="str">
        <x:v>2026-07-10 14:51:35</x:v>
      </x:c>
      <x:c r="G26" s="76" t="str">
        <x:v>Common Criteria (CC) version 3</x:v>
      </x:c>
      <x:c r="H26" s="76" t="str">
        <x:v>update</x:v>
      </x:c>
      <x:c r="I26" s="76" t="str">
        <x:v>Editorial / publication</x:v>
      </x:c>
      <x:c r="J26" s="76" t="str">
        <x:v>Publication metadata and referenced versions</x:v>
      </x:c>
      <x:c r="K26" s="76" t="str">
        <x:v>Resolved</x:v>
      </x:c>
      <x:c r="L26" s="76" t="str">
        <x:v>Accept</x:v>
      </x:c>
      <x:c r="M26" s="76" t="str">
        <x:v>AppSW-iTC</x:v>
      </x:c>
      <x:c r="N26" s="76" t="str">
        <x:v>Updated Agent Supporting Document metadata and revision history to Version 2.0 draft-review values.</x:v>
      </x:c>
      <x:c r="O26" s="76" t="str">
        <x:v>SD-Module-Agent-v2.0-draft-review-BAH.pdf</x:v>
      </x:c>
    </x:row>
    <x:row r="27" ht="26.399999618530273" hidden="0" customHeight="1">
      <x:c r="A27" s="74" t="str">
        <x:v>BAH-026</x:v>
      </x:c>
      <x:c r="B27" s="74" t="str">
        <x:v>SD-Module-Agent-v2.0-draft-review</x:v>
      </x:c>
      <x:c r="C27" s="75" t="n">
        <x:v>3</x:v>
      </x:c>
      <x:c r="D27" s="74" t="str">
        <x:v>Highlight</x:v>
      </x:c>
      <x:c r="E27" s="74" t="str">
        <x:v>525185</x:v>
      </x:c>
      <x:c r="F27" s="74" t="str">
        <x:v>2026-07-10 14:52:54</x:v>
      </x:c>
      <x:c r="G27" s="76" t="str">
        <x:v>collaborative PP-Module for Agent Applications, Version 1.1, 2022-08-16</x:v>
      </x:c>
      <x:c r="H27" s="76" t="str">
        <x:v>update</x:v>
      </x:c>
      <x:c r="I27" s="76" t="str">
        <x:v>Editorial / publication</x:v>
      </x:c>
      <x:c r="J27" s="76" t="str">
        <x:v>Publication metadata and referenced versions</x:v>
      </x:c>
      <x:c r="K27" s="76" t="str">
        <x:v>Resolved</x:v>
      </x:c>
      <x:c r="L27" s="76" t="str">
        <x:v>Accept</x:v>
      </x:c>
      <x:c r="M27" s="76" t="str">
        <x:v>AppSW-iTC</x:v>
      </x:c>
      <x:c r="N27" s="76" t="str">
        <x:v>Updated the Agent Supporting Document's module reference to Version 2.0.</x:v>
      </x:c>
      <x:c r="O27" s="76" t="str">
        <x:v>SD-Module-Agent-v2.0-draft-review-BAH.pdf</x:v>
      </x:c>
    </x:row>
    <x:row r="28" ht="26.399999618530273" hidden="0" customHeight="1">
      <x:c r="A28" s="74" t="str">
        <x:v>BAH-027</x:v>
      </x:c>
      <x:c r="B28" s="74" t="str">
        <x:v>SD-Module-Agent-v2.0-draft-review</x:v>
      </x:c>
      <x:c r="C28" s="75" t="n">
        <x:v>5</x:v>
      </x:c>
      <x:c r="D28" s="74" t="str">
        <x:v>Highlight</x:v>
      </x:c>
      <x:c r="E28" s="74" t="str">
        <x:v>525185</x:v>
      </x:c>
      <x:c r="F28" s="74" t="str">
        <x:v>2026-07-10 15:12:26</x:v>
      </x:c>
      <x:c r="G28" s="76" t="str">
        <x:v>FCO_CPC_EXT.1/Agent</x:v>
      </x:c>
      <x:c r="H28" s="76" t="str">
        <x:v>remove all use of "/Agent"</x:v>
      </x:c>
      <x:c r="I28" s="76" t="str">
        <x:v>Editorial / publication</x:v>
      </x:c>
      <x:c r="J28" s="76" t="str">
        <x:v>Agent terminology and SFR iteration cleanup</x:v>
      </x:c>
      <x:c r="K28" s="76" t="str">
        <x:v>Resolved</x:v>
      </x:c>
      <x:c r="L28" s="76" t="str">
        <x:v>Accept</x:v>
      </x:c>
      <x:c r="M28" s="76" t="str">
        <x:v>AppSW-iTC</x:v>
      </x:c>
      <x:c r="N28" s="76" t="str">
        <x:v>Removed the /Agent suffix from FCO_CPC_EXT.1 throughout the Agent Supporting Document.</x:v>
      </x:c>
      <x:c r="O28" s="76" t="str">
        <x:v>SD-Module-Agent-v2.0-draft-review-BAH.pdf</x:v>
      </x:c>
    </x:row>
    <x:row r="29" ht="26.399999618530273" hidden="0" customHeight="1">
      <x:c r="A29" s="74" t="str">
        <x:v>BAH-028</x:v>
      </x:c>
      <x:c r="B29" s="74" t="str">
        <x:v>SD-Module-Agent-v2.0-draft-review</x:v>
      </x:c>
      <x:c r="C29" s="75" t="n">
        <x:v>5</x:v>
      </x:c>
      <x:c r="D29" s="74" t="str">
        <x:v>Highlight</x:v>
      </x:c>
      <x:c r="E29" s="74" t="str">
        <x:v>525185</x:v>
      </x:c>
      <x:c r="F29" s="74" t="str">
        <x:v>2026-07-12 21:48:00</x:v>
      </x:c>
      <x:c r="G29" s="76" t="str">
        <x:v>the relevant SFR iteration, if present, that specifies</x:v>
      </x:c>
      <x:c r="H29" s="76" t="str">
        <x:v>Delete. no more iterations defined by the Modules</x:v>
      </x:c>
      <x:c r="I29" s="76" t="str">
        <x:v>Editorial / publication</x:v>
      </x:c>
      <x:c r="J29" s="76" t="str">
        <x:v>Agent terminology and SFR iteration cleanup</x:v>
      </x:c>
      <x:c r="K29" s="76" t="str">
        <x:v>Resolved</x:v>
      </x:c>
      <x:c r="L29" s="76" t="str">
        <x:v>Accept</x:v>
      </x:c>
      <x:c r="M29" s="76" t="str">
        <x:v>AppSW-iTC</x:v>
      </x:c>
      <x:c r="N29" s="76" t="str">
        <x:v>Removed the obsolete statement that the relevant SFR is an iteration defined by the module.</x:v>
      </x:c>
      <x:c r="O29" s="76" t="str">
        <x:v>SD-Module-Agent-v2.0-draft-review-BAH.pdf</x:v>
      </x:c>
    </x:row>
    <x:row r="30" ht="52.79999923706055" hidden="0" customHeight="1">
      <x:c r="A30" s="74" t="str">
        <x:v>BAH-029</x:v>
      </x:c>
      <x:c r="B30" s="74" t="str">
        <x:v>SD-Module-Agent-v2.0-draft-review</x:v>
      </x:c>
      <x:c r="C30" s="75" t="n">
        <x:v>5</x:v>
      </x:c>
      <x:c r="D30" s="74" t="str">
        <x:v>Highlight</x:v>
      </x:c>
      <x:c r="E30" s="74" t="str">
        <x:v>525185</x:v>
      </x:c>
      <x:c r="F30" s="74" t="str">
        <x:v>2026-07-12 21:49:49</x:v>
      </x:c>
      <x:c r="G30" s="76" t="str">
        <x:v>First type: the TSS identifies the relevant SFR iteration, if present, that specifies the channel used. ◦ Second type: the TSS describes details of the channel and the mechanisms that it uses.</x:v>
      </x:c>
      <x:c r="H30" s="76" t="str">
        <x:v>Not clear what the difference is here. Perhaps remove if determined not to be needed.</x:v>
      </x:c>
      <x:c r="I30" s="76" t="str">
        <x:v>Clarification / rationale</x:v>
      </x:c>
      <x:c r="J30" s="76" t="str">
        <x:v>Agent registration and communication tests</x:v>
      </x:c>
      <x:c r="K30" s="76" t="str">
        <x:v>Resolved</x:v>
      </x:c>
      <x:c r="L30" s="76" t="str">
        <x:v>Accept with adaptation</x:v>
      </x:c>
      <x:c r="M30" s="76" t="str">
        <x:v>AppSW-iTC</x:v>
      </x:c>
      <x:c r="N30" s="76" t="str">
        <x:v>Removed the unexplained first-type/second-type distinction. The TSS now identifies a selected protected registration channel, its relationship, FTP_DIT_EXT.1 claim, and security characteristics.</x:v>
      </x:c>
      <x:c r="O30" s="76" t="str">
        <x:v>SD-Module-Agent-v2.0-draft-review-BAH.pdf</x:v>
      </x:c>
    </x:row>
    <x:row r="31" ht="39.599998474121094" hidden="0" customHeight="1">
      <x:c r="A31" s="74" t="str">
        <x:v>BAH-030</x:v>
      </x:c>
      <x:c r="B31" s="74" t="str">
        <x:v>SD-Module-Agent-v2.0-draft-review</x:v>
      </x:c>
      <x:c r="C31" s="75" t="n">
        <x:v>5</x:v>
      </x:c>
      <x:c r="D31" s="74" t="str">
        <x:v>Highlight</x:v>
      </x:c>
      <x:c r="E31" s="74" t="str">
        <x:v>525185</x:v>
      </x:c>
      <x:c r="F31" s="74" t="str">
        <x:v>2026-07-12 21:50:32</x:v>
      </x:c>
      <x:c r="G31" s="76" t="str">
        <x:v>Describes</x:v>
      </x:c>
      <x:c r="H31" s="76" t="str">
        <x:v>This should be conditional as the 'no channel' option can be selected</x:v>
      </x:c>
      <x:c r="I31" s="76" t="str">
        <x:v>TOE architecture / communication</x:v>
      </x:c>
      <x:c r="J31" s="76" t="str">
        <x:v>Agent registration and communication tests</x:v>
      </x:c>
      <x:c r="K31" s="76" t="str">
        <x:v>Resolved</x:v>
      </x:c>
      <x:c r="L31" s="76" t="str">
        <x:v>Accept</x:v>
      </x:c>
      <x:c r="M31" s="76" t="str">
        <x:v>AppSW-iTC</x:v>
      </x:c>
      <x:c r="N31" s="76" t="str">
        <x:v>Made the channel-description activity conditional on selecting a channel protected according to FTP_DIT_EXT.1; no channel description is required for the no-channel selection.</x:v>
      </x:c>
      <x:c r="O31" s="76" t="str">
        <x:v>SD-Module-Agent-v2.0-draft-review-BAH.pdf</x:v>
      </x:c>
    </x:row>
    <x:row r="32" ht="224.39999389648438" hidden="0" customHeight="1">
      <x:c r="A32" s="74" t="str">
        <x:v>BAH-031</x:v>
      </x:c>
      <x:c r="B32" s="74" t="str">
        <x:v>SD-Module-Agent-v2.0-draft-review</x:v>
      </x:c>
      <x:c r="C32" s="75" t="n">
        <x:v>6</x:v>
      </x:c>
      <x:c r="D32" s="74" t="str">
        <x:v>Highlight</x:v>
      </x:c>
      <x:c r="E32" s="74" t="str">
        <x:v>525185</x:v>
      </x:c>
      <x:c r="F32" s="74" t="str">
        <x:v>2026-07-12 21:42:56</x:v>
      </x:c>
      <x:c r="G32" s="76" t="str">
        <x:v>• identify any aspects of the channel can be modified by the operational environment in order to improve the channel security and shall describe how this modification can be achieved (e.g. generating a new key pair, or replacing a default public key certificate). As background for the examination of the registration channel description, it is noted that the requirements above are intended to ensure that administrators can make an accurate judgement of any risks that arise from the default registration process. Examples would be the use of self-signed certificates (i.e. certificates that are not chained to an external or local Certification Authority, manufacturer-issued certificates (where control over aspects such as revocation, or which devices are issued with recognised certificates, is outside the control of the operational environment), use of generic/non-unique keys (e.g. where the same key is present on more than one instance of a device), or well-known keys (i.e. where the confidentiality of the keys is not intended to be strongly protected – note that this does not imply there is a positive action or intention to publicise the keys).</x:v>
      </x:c>
      <x:c r="H32" s="76" t="str">
        <x:v>This seems to be related to the option from the NDcPP that allows "Registration may be performed over any untrusted network" from Figure 13. Not sure if this PP has been written to allow this per selections under FCO_CPC_EXT.1.2</x:v>
      </x:c>
      <x:c r="I32" s="76" t="str">
        <x:v>Requirement alignment</x:v>
      </x:c>
      <x:c r="J32" s="76" t="str">
        <x:v>Agent registration and communication tests</x:v>
      </x:c>
      <x:c r="K32" s="76" t="str">
        <x:v>Resolved</x:v>
      </x:c>
      <x:c r="L32" s="76" t="str">
        <x:v>Accept with adaptation</x:v>
      </x:c>
      <x:c r="M32" s="76" t="str">
        <x:v>AppSW-iTC</x:v>
      </x:c>
      <x:c r="N32" s="76" t="str">
        <x:v>Added an explicit statement that an FTP_DIT_EXT.1-protected registration channel may operate over any untrusted network; no trusted-registration-network assumption is made.</x:v>
      </x:c>
      <x:c r="O32" s="76" t="str">
        <x:v>SD-Module-Agent-v2.0-draft-review-BAH.pdf</x:v>
      </x:c>
    </x:row>
    <x:row r="33" ht="52.79999923706055" hidden="0" customHeight="1">
      <x:c r="A33" s="74" t="str">
        <x:v>BAH-032</x:v>
      </x:c>
      <x:c r="B33" s="74" t="str">
        <x:v>SD-Module-Agent-v2.0-draft-review</x:v>
      </x:c>
      <x:c r="C33" s="75" t="n">
        <x:v>6</x:v>
      </x:c>
      <x:c r="D33" s="74" t="str">
        <x:v>Highlight</x:v>
      </x:c>
      <x:c r="E33" s="74" t="str">
        <x:v>525185</x:v>
      </x:c>
      <x:c r="F33" s="74" t="str">
        <x:v>2026-07-12 22:10:02</x:v>
      </x:c>
      <x:c r="G33" s="76" t="str">
        <x:v>for which communication has not been explicitly enabled.</x:v>
      </x:c>
      <x:c r="H33" s="76" t="str">
        <x:v>Update to " for which communication is possible but has not been explicitly enabled" This was updated due to feedback on MDM PP in 2021 - TD0594. Note the reason in the TD is not exactly complete/accurate. The issue is that this test as written can require two TOE components that were never meant to communicate to try and communicate to satisfy this test.</x:v>
      </x:c>
      <x:c r="I33" s="76" t="str">
        <x:v>Editorial / publication</x:v>
      </x:c>
      <x:c r="J33" s="76" t="str">
        <x:v>Agent registration and communication tests</x:v>
      </x:c>
      <x:c r="K33" s="76" t="str">
        <x:v>Resolved</x:v>
      </x:c>
      <x:c r="L33" s="76" t="str">
        <x:v>Accept</x:v>
      </x:c>
      <x:c r="M33" s="76" t="str">
        <x:v>AppSW-iTC</x:v>
      </x:c>
      <x:c r="N33" s="76" t="str">
        <x:v>Adopted the TD0594 wording so the negative test applies only where communication is possible but has not been explicitly enabled.</x:v>
      </x:c>
      <x:c r="O33" s="76" t="str">
        <x:v>SD-Module-Agent-v2.0-draft-review-BAH.pdf</x:v>
      </x:c>
    </x:row>
    <x:row r="34" ht="79.19999694824219" hidden="0" customHeight="1">
      <x:c r="A34" s="74" t="str">
        <x:v>BAH-033</x:v>
      </x:c>
      <x:c r="B34" s="74" t="str">
        <x:v>SD-Module-Agent-v2.0-draft-review</x:v>
      </x:c>
      <x:c r="C34" s="75" t="n">
        <x:v>6</x:v>
      </x:c>
      <x:c r="D34" s="74" t="str">
        <x:v>Text</x:v>
      </x:c>
      <x:c r="E34" s="74" t="str">
        <x:v>525185</x:v>
      </x:c>
      <x:c r="F34" s="74" t="str">
        <x:v>2026-07-12 22:13:40</x:v>
      </x:c>
      <x:c r="G34" s="76" t="str">
        <x:v>disabled component.</x:v>
      </x:c>
      <x:c r="H34" s="76" t="str">
        <x:v>Add "In situations where one component acts as the "Server" for all other components, the test would involve disabling the components in turn on the Server and ensuring that the TOE no longer communicates with disabled components." This was updated due to feedback on MDM PP in 2021 - TD0594. Note the reason in the TD is not exactly complete/accurate. The issue is that the original test as written assumes that either side can disable the communication. Note still not 100% happy with the way this is written but it is how it has been used in MDM since.</x:v>
      </x:c>
      <x:c r="I34" s="76" t="str">
        <x:v>Editorial / publication</x:v>
      </x:c>
      <x:c r="J34" s="76" t="str">
        <x:v>Agent registration and communication tests</x:v>
      </x:c>
      <x:c r="K34" s="76" t="str">
        <x:v>Resolved</x:v>
      </x:c>
      <x:c r="L34" s="76" t="str">
        <x:v>Accept</x:v>
      </x:c>
      <x:c r="M34" s="76" t="str">
        <x:v>AppSW-iTC</x:v>
      </x:c>
      <x:c r="N34" s="76" t="str">
        <x:v>Added the established one-Server test instruction for disabling components in turn and confirming communication ceases.</x:v>
      </x:c>
      <x:c r="O34" s="76" t="str">
        <x:v>SD-Module-Agent-v2.0-draft-review-BAH.pdf</x:v>
      </x:c>
    </x:row>
    <x:row r="35" ht="79.19999694824219" hidden="0" customHeight="1">
      <x:c r="A35" s="74" t="str">
        <x:v>BAH-034</x:v>
      </x:c>
      <x:c r="B35" s="74" t="str">
        <x:v>SD-Module-Agent-v2.0-draft-review</x:v>
      </x:c>
      <x:c r="C35" s="75" t="n">
        <x:v>7</x:v>
      </x:c>
      <x:c r="D35" s="74" t="str">
        <x:v>Highlight</x:v>
      </x:c>
      <x:c r="E35" s="74" t="str">
        <x:v>525185</x:v>
      </x:c>
      <x:c r="F35" s="74" t="str">
        <x:v>2026-07-12 22:18:46</x:v>
      </x:c>
      <x:c r="G35" s="76" t="str">
        <x:v>If the registration channel is not subsequently used for communication between TOE components, then the evaluator shall confirm that the registration channel can no longer be used after the registration process has completed, by attempting to use the channel to communicate with each of the endpoints after registration has completed.</x:v>
      </x:c>
      <x:c r="H35" s="76" t="str">
        <x:v>There could be a lot of issues trying to invoke a communication channel that is only meant during configuration of a TOE, or only through an interface that limits when or how this channel is enacted. If the channel was considered secure per the FTP_DIT_EXT.1 requirement, unsure what this will satisfy. There is not a test exactly like this in the other PPs. There is a test for an unsecure channel that should not be used but that is not an option in this PP with the selections in CPC_EXT.1.2. Recommend removing this subtest and maybe the whole Test 4.</x:v>
      </x:c>
      <x:c r="I35" s="76" t="str">
        <x:v>Evaluation activity / testing</x:v>
      </x:c>
      <x:c r="J35" s="76" t="str">
        <x:v>Agent registration and communication tests</x:v>
      </x:c>
      <x:c r="K35" s="76" t="str">
        <x:v>Resolved</x:v>
      </x:c>
      <x:c r="L35" s="76" t="str">
        <x:v>Accept</x:v>
      </x:c>
      <x:c r="M35" s="76" t="str">
        <x:v>AppSW-iTC</x:v>
      </x:c>
      <x:c r="N35" s="76" t="str">
        <x:v>Removed the Test 4 subtest that attempted to use a registration-only channel after registration. FCO pairing control is covered by Tests 1 and 2; protected-channel testing is covered by FTP_DIT_EXT.1.</x:v>
      </x:c>
      <x:c r="O35" s="76" t="str">
        <x:v>SD-Module-Agent-v2.0-draft-review-BAH.pdf</x:v>
      </x:c>
    </x:row>
    <x:row r="36" ht="66" hidden="0" customHeight="1">
      <x:c r="A36" s="74" t="str">
        <x:v>BAH-035</x:v>
      </x:c>
      <x:c r="B36" s="74" t="str">
        <x:v>SD-Module-Agent-v2.0-draft-review</x:v>
      </x:c>
      <x:c r="C36" s="75" t="n">
        <x:v>7</x:v>
      </x:c>
      <x:c r="D36" s="74" t="str">
        <x:v>Highlight</x:v>
      </x:c>
      <x:c r="E36" s="74" t="str">
        <x:v>525185</x:v>
      </x:c>
      <x:c r="F36" s="74" t="str">
        <x:v>2026-07-12 22:25:47</x:v>
      </x:c>
      <x:c r="G36" s="76" t="str">
        <x:v>the registration channel is subsequently used for communication between TOE components then the evaluator shall confirm</x:v>
      </x:c>
      <x:c r="H36" s="76" t="str">
        <x:v>This sub-test seems to be for the TOE post registration which would be handled by the guidance and testing of FTP_DIT_EXT.1. This SFR is for the TOE during registration. The first sub-test of Test 3 ensures that the guidance and testing of the registration channel is tested as part of FTP_DIT_EXT.1. Thus, registration and post-registration channels are both being tested as part of FTP_DIT_EXT. Not sure if this is needed. Other PPs don't seem to have a test exactly like this.</x:v>
      </x:c>
      <x:c r="I36" s="76" t="str">
        <x:v>Evaluation activity / testing</x:v>
      </x:c>
      <x:c r="J36" s="76" t="str">
        <x:v>Agent registration and communication tests</x:v>
      </x:c>
      <x:c r="K36" s="76" t="str">
        <x:v>Resolved</x:v>
      </x:c>
      <x:c r="L36" s="76" t="str">
        <x:v>Accept</x:v>
      </x:c>
      <x:c r="M36" s="76" t="str">
        <x:v>AppSW-iTC</x:v>
      </x:c>
      <x:c r="N36" s="76" t="str">
        <x:v>Removed Test 4. Post-registration steady-state channel behavior is covered by FTP_DIT_EXT.1 rather than adding a second FCO_CPC_EXT.1 activity.</x:v>
      </x:c>
      <x:c r="O36" s="76" t="str">
        <x:v>SD-Module-Agent-v2.0-draft-review-BAH.pdf</x:v>
      </x:c>
    </x:row>
    <x:row r="37" ht="26.399999618530273" hidden="0" customHeight="1">
      <x:c r="A37" s="74" t="str">
        <x:v>BAH-036</x:v>
      </x:c>
      <x:c r="B37" s="74" t="str">
        <x:v>SD-Module-Server-v2.0-draft-review</x:v>
      </x:c>
      <x:c r="C37" s="75" t="n">
        <x:v>1</x:v>
      </x:c>
      <x:c r="D37" s="74" t="str">
        <x:v>Highlight</x:v>
      </x:c>
      <x:c r="E37" s="74" t="str">
        <x:v>525185</x:v>
      </x:c>
      <x:c r="F37" s="74" t="str">
        <x:v>2026-07-10 14:51:24</x:v>
      </x:c>
      <x:c r="G37" s="76" t="str">
        <x:v>Common Criteria (CC) version 3 and</x:v>
      </x:c>
      <x:c r="H37" s="76" t="str">
        <x:v>update</x:v>
      </x:c>
      <x:c r="I37" s="76" t="str">
        <x:v>Editorial / publication</x:v>
      </x:c>
      <x:c r="J37" s="76" t="str">
        <x:v>Publication metadata and referenced versions</x:v>
      </x:c>
      <x:c r="K37" s="76" t="str">
        <x:v>Resolved</x:v>
      </x:c>
      <x:c r="L37" s="76" t="str">
        <x:v>Accept</x:v>
      </x:c>
      <x:c r="M37" s="76" t="str">
        <x:v>AppSW-iTC</x:v>
      </x:c>
      <x:c r="N37" s="76" t="str">
        <x:v>Updated the Server Supporting Document's CC and revision metadata.</x:v>
      </x:c>
      <x:c r="O37" s="76" t="str">
        <x:v>SD-Module-Server-v2.0-draft-review-BAH.pdf</x:v>
      </x:c>
    </x:row>
    <x:row r="38" ht="26.399999618530273" hidden="0" customHeight="1">
      <x:c r="A38" s="74" t="str">
        <x:v>BAH-037</x:v>
      </x:c>
      <x:c r="B38" s="74" t="str">
        <x:v>SD-Module-Server-v2.0-draft-review</x:v>
      </x:c>
      <x:c r="C38" s="75" t="n">
        <x:v>3</x:v>
      </x:c>
      <x:c r="D38" s="74" t="str">
        <x:v>Highlight</x:v>
      </x:c>
      <x:c r="E38" s="74" t="str">
        <x:v>525185</x:v>
      </x:c>
      <x:c r="F38" s="74" t="str">
        <x:v>2026-07-10 14:52:38</x:v>
      </x:c>
      <x:c r="G38" s="76" t="str">
        <x:v>collaborative PP-Module for Server Applications, Version 1.1, 2022-08-16</x:v>
      </x:c>
      <x:c r="H38" s="76" t="str">
        <x:v>update</x:v>
      </x:c>
      <x:c r="I38" s="76" t="str">
        <x:v>Editorial / publication</x:v>
      </x:c>
      <x:c r="J38" s="76" t="str">
        <x:v>Publication metadata and referenced versions</x:v>
      </x:c>
      <x:c r="K38" s="76" t="str">
        <x:v>Resolved</x:v>
      </x:c>
      <x:c r="L38" s="76" t="str">
        <x:v>Accept</x:v>
      </x:c>
      <x:c r="M38" s="76" t="str">
        <x:v>AppSW-iTC</x:v>
      </x:c>
      <x:c r="N38" s="76" t="str">
        <x:v>Updated the Server Supporting Document's PP-Module reference to Version 2.0.</x:v>
      </x:c>
      <x:c r="O38" s="76" t="str">
        <x:v>SD-Module-Server-v2.0-draft-review-BAH.pdf</x:v>
      </x:c>
    </x:row>
    <x:row r="39" ht="211.1999969482422" hidden="0" customHeight="1">
      <x:c r="A39" s="74" t="str">
        <x:v>BAH-038</x:v>
      </x:c>
      <x:c r="B39" s="74" t="str">
        <x:v>SD-Module-Server-v2.0-draft-review</x:v>
      </x:c>
      <x:c r="C39" s="75" t="n">
        <x:v>6</x:v>
      </x:c>
      <x:c r="D39" s="74" t="str">
        <x:v>Highlight</x:v>
      </x:c>
      <x:c r="E39" s="74" t="str">
        <x:v>525185</x:v>
      </x:c>
      <x:c r="F39" s="74" t="str">
        <x:v>2026-07-10 15:02:17</x:v>
      </x:c>
      <x:c r="G39" s="76" t="str">
        <x:v>Test 2: The evaluator shall run the application while monitoring it with the following platform specific tools and make changes to its configuration. The evaluator shall verify that the tool logs show corresponding changes to the locations identified in the TSS for storage of configuration data. The following platform specific tools and procedures must be used: ◦ Windows: SystInternal tool ProcMon ▪ The evaluator shall run the application while monitoring it with the SysInternal tool ProcMon and make changes to its configuration. The evaluator shall verify that ProcMon logs show corresponding changes to the locations identified in the TSS for storage of configuration data. ◦ Linux or macOS: strace (or equivalent utility) ▪ The evaluator shall run the application while monitoring it with the utility strace. The evaluator shall make security-related changes to its configuration. The evaluator shall verify that strace logs corresponding changes to configuration files that reside in /etc (for system-specific configuration) or in the user’s home directory (for user-specific configuration).</x:v>
      </x:c>
      <x:c r="H39" s="76" t="str">
        <x:v>This test isn't really aligned with this SFR's wording and seems mostly a replication of FMT_MEC_EXT.1 from the base PP. The base PP and SFR goes more into storage location. Without these further context, this EA would have issues being met when configuration options are stored internally. Recommend removing and relying on base PP EA only. Test 1 fully covers SFR wording.</x:v>
      </x:c>
      <x:c r="I39" s="76" t="str">
        <x:v>Evaluation activity / testing</x:v>
      </x:c>
      <x:c r="J39" s="76" t="str">
        <x:v>Server module alignment with the base cPP</x:v>
      </x:c>
      <x:c r="K39" s="76" t="str">
        <x:v>Resolved</x:v>
      </x:c>
      <x:c r="L39" s="76" t="str">
        <x:v>Accept</x:v>
      </x:c>
      <x:c r="M39" s="76" t="str">
        <x:v>AppSW-iTC</x:v>
      </x:c>
      <x:c r="N39" s="76" t="str">
        <x:v>Removed the duplicate Server FMT_MEC Test 2 and retained the base cPP evaluation activity for configuration-storage behavior.</x:v>
      </x:c>
      <x:c r="O39" s="76" t="str">
        <x:v>SD-Module-Server-v2.0-draft-review-BAH.pdf</x:v>
      </x:c>
    </x:row>
    <x:row r="40" ht="237.60000610351562" hidden="0" customHeight="1">
      <x:c r="A40" s="74" t="str">
        <x:v>BAH-039</x:v>
      </x:c>
      <x:c r="B40" s="74" t="str">
        <x:v>SD-Module-Server-v2.0-draft-review</x:v>
      </x:c>
      <x:c r="C40" s="75" t="n">
        <x:v>7</x:v>
      </x:c>
      <x:c r="D40" s="74" t="str">
        <x:v>Highlight</x:v>
      </x:c>
      <x:c r="E40" s="74" t="str">
        <x:v>525185</x:v>
      </x:c>
      <x:c r="F40" s="74" t="str">
        <x:v>2026-07-10 15:09:11</x:v>
      </x:c>
      <x:c r="G40" s="76" t="str">
        <x:v>2.4.1.1.1. TSS No activities specified. 2.4.1.1.2. Operational Guidance No activities specified. 2.4.1.1.3. Test The evaluator shall configure the platform in the ascribed manner and carry out one of the prescribed tests: • Test 1: [conditional] If the application is being tested on Windows, the evaluator shall ensure that the application can run successfully with Windows Defender Exploit Guard Exploit Protection configured with the following minimum mitigations enabled; Control Flow Guard (CFG), Randomize memory allocations (Bottom-Up ASLR), Export address filtering (EAF), Import address filtering (IAF), and Data Execution Prevention (DEP). The following link describes how to enable Exploit Protection, https://docs.microsoft.com/en-us/windows/security/threat- protection/microsoft-defender-atp/enable-exploit-protection. • Test 2: [conditional] If the application is being tested on Linux, the evaluator shall ensure that the application can successfully run on a system with SELinux (or equivalent platform vendor recommended security features) enabled and enforcing. • Test 3: [conditional] If the application is being tested on macOS, the evaluator shall ensure that the application can successfully run on a system without disabling System Integrity Protection (SIP).</x:v>
      </x:c>
      <x:c r="H40" s="76" t="str">
        <x:v>As stated in the Module: "Unsure added value of this requirement from the base PP. Perhaps it was more applicable previously." If there is value, then I think a test is needed for all OS's as is the case with the base PP.</x:v>
      </x:c>
      <x:c r="I40" s="76" t="str">
        <x:v>Evaluation activity / testing</x:v>
      </x:c>
      <x:c r="J40" s="76" t="str">
        <x:v>Server module alignment with the base cPP</x:v>
      </x:c>
      <x:c r="K40" s="76" t="str">
        <x:v>Resolved</x:v>
      </x:c>
      <x:c r="L40" s="76" t="str">
        <x:v>Clarify with reviewer</x:v>
      </x:c>
      <x:c r="M40" s="76" t="str">
        <x:v>AppSW-iTC</x:v>
      </x:c>
      <x:c r="N40" s="76" t="str">
        <x:v>Retained the Server refinement and updated it for all claimed platforms by invoking the base Windows and macOS activities and adding the Linux-container mandatory-access-control check.</x:v>
      </x:c>
      <x:c r="O40" s="76" t="str">
        <x:v>SD-Module-Server-v2.0-draft-review-BAH.pdf</x:v>
      </x:c>
    </x:row>
    <x:row r="41" ht="26.399999618530273" hidden="0" customHeight="1">
      <x:c r="A41" s="74" t="str">
        <x:v>BAH-040</x:v>
      </x:c>
      <x:c r="B41" s="74" t="str">
        <x:v>cPP-Application-Software-v2.0-draft-review</x:v>
      </x:c>
      <x:c r="C41" s="75" t="n">
        <x:v>1</x:v>
      </x:c>
      <x:c r="D41" s="74" t="str">
        <x:v>Highlight</x:v>
      </x:c>
      <x:c r="E41" s="74" t="str">
        <x:v>525185</x:v>
      </x:c>
      <x:c r="F41" s="74" t="str">
        <x:v>2026-07-08 22:49:37</x:v>
      </x:c>
      <x:c r="G41" s="76" t="str">
        <x:v>Version: 2.0 2025-06-16</x:v>
      </x:c>
      <x:c r="H41" s="76" t="str">
        <x:v>Update dates across all documents to 2026</x:v>
      </x:c>
      <x:c r="I41" s="76" t="str">
        <x:v>Editorial / publication</x:v>
      </x:c>
      <x:c r="J41" s="76" t="str">
        <x:v>Publication metadata and referenced versions</x:v>
      </x:c>
      <x:c r="K41" s="76" t="str">
        <x:v>Resolved</x:v>
      </x:c>
      <x:c r="L41" s="76" t="str">
        <x:v>Accept</x:v>
      </x:c>
      <x:c r="M41" s="76" t="str">
        <x:v>AppSW-iTC</x:v>
      </x:c>
      <x:c r="N41" s="76" t="str">
        <x:v>Refreshed the base cPP date and draft revision history to 2026, with matching 2026 updates across the review sources.</x:v>
      </x:c>
      <x:c r="O41" s="76" t="str">
        <x:v>cPP-Application-Software-v2.0-draft-review - BAH.pdf</x:v>
      </x:c>
    </x:row>
    <x:row r="42" ht="26.399999618530273" hidden="0" customHeight="1">
      <x:c r="A42" s="74" t="str">
        <x:v>BAH-041</x:v>
      </x:c>
      <x:c r="B42" s="74" t="str">
        <x:v>cPP-Application-Software-v2.0-draft-review</x:v>
      </x:c>
      <x:c r="C42" s="75" t="n">
        <x:v>18</x:v>
      </x:c>
      <x:c r="D42" s="74" t="str">
        <x:v>Highlight</x:v>
      </x:c>
      <x:c r="E42" s="74" t="str">
        <x:v>525185</x:v>
      </x:c>
      <x:c r="F42" s="74" t="str">
        <x:v>2026-07-10 15:36:06</x:v>
      </x:c>
      <x:c r="G42" s="76" t="str">
        <x:v>For applications that rely on managed runtimes or application frameworks,</x:v>
      </x:c>
      <x:c r="H42" s="76" t="str">
        <x:v>Change to "For managed runtime or application framework based TOEs, "</x:v>
      </x:c>
      <x:c r="I42" s="76" t="str">
        <x:v>Clarification / rationale</x:v>
      </x:c>
      <x:c r="J42" s="76" t="str">
        <x:v>Managed runtime / application framework scope</x:v>
      </x:c>
      <x:c r="K42" s="76" t="str">
        <x:v>Resolved</x:v>
      </x:c>
      <x:c r="L42" s="76" t="str">
        <x:v>Accept</x:v>
      </x:c>
      <x:c r="M42" s="76" t="str">
        <x:v>AppSW-iTC</x:v>
      </x:c>
      <x:c r="N42" s="76" t="str">
        <x:v>Recast the affected text as applying to managed runtime or application framework based TOEs.</x:v>
      </x:c>
      <x:c r="O42" s="76" t="str">
        <x:v>cPP-Application-Software-v2.0-draft-review - BAH.pdf</x:v>
      </x:c>
    </x:row>
    <x:row r="43" ht="39.599998474121094" hidden="0" customHeight="1">
      <x:c r="A43" s="74" t="str">
        <x:v>BAH-042</x:v>
      </x:c>
      <x:c r="B43" s="74" t="str">
        <x:v>cPP-Application-Software-v2.0-draft-review</x:v>
      </x:c>
      <x:c r="C43" s="75" t="n">
        <x:v>20</x:v>
      </x:c>
      <x:c r="D43" s="74" t="str">
        <x:v>Highlight</x:v>
      </x:c>
      <x:c r="E43" s="74" t="str">
        <x:v>525185</x:v>
      </x:c>
      <x:c r="F43" s="74" t="str">
        <x:v>2026-07-10 15:35:47</x:v>
      </x:c>
      <x:c r="G43" s="76" t="str">
        <x:v>or by a platform vendor who may be able to guarantee support platform APIs. For applications that rely on managed runtimes or application frameworks,</x:v>
      </x:c>
      <x:c r="H43" s="76" t="str">
        <x:v>Change to "For managed runtime or application framework based TOEs, "</x:v>
      </x:c>
      <x:c r="I43" s="76" t="str">
        <x:v>Clarification / rationale</x:v>
      </x:c>
      <x:c r="J43" s="76" t="str">
        <x:v>Managed runtime / application framework scope</x:v>
      </x:c>
      <x:c r="K43" s="76" t="str">
        <x:v>Resolved</x:v>
      </x:c>
      <x:c r="L43" s="76" t="str">
        <x:v>Accept</x:v>
      </x:c>
      <x:c r="M43" s="76" t="str">
        <x:v>AppSW-iTC</x:v>
      </x:c>
      <x:c r="N43" s="76" t="str">
        <x:v>Recast the affected text as applying to managed runtime or application framework based TOEs.</x:v>
      </x:c>
      <x:c r="O43" s="76" t="str">
        <x:v>cPP-Application-Software-v2.0-draft-review - BAH.pdf</x:v>
      </x:c>
    </x:row>
    <x:row r="44" ht="39.599998474121094" hidden="0" customHeight="1">
      <x:c r="A44" s="74" t="str">
        <x:v>BAH-043</x:v>
      </x:c>
      <x:c r="B44" s="74" t="str">
        <x:v>cPP-Application-Software-v2.0-draft-review</x:v>
      </x:c>
      <x:c r="C44" s="75" t="n">
        <x:v>21</x:v>
      </x:c>
      <x:c r="D44" s="74" t="str">
        <x:v>Highlight</x:v>
      </x:c>
      <x:c r="E44" s="74" t="str">
        <x:v>525185</x:v>
      </x:c>
      <x:c r="F44" s="74" t="str">
        <x:v>2026-07-08 22:16:41</x:v>
      </x:c>
      <x:c r="G44" s="76" t="str">
        <x:v>code. If the TOE includes or bundles a managed runtime or application framework, the update mechanism description shall identify whether updates to the runtime or framework are TOE updates,</x:v>
      </x:c>
      <x:c r="H44" s="76" t="str">
        <x:v>This should say: "the update mechanism described shall cover updates to the managed runtime or application framework"</x:v>
      </x:c>
      <x:c r="I44" s="76" t="str">
        <x:v>Editorial / publication</x:v>
      </x:c>
      <x:c r="J44" s="76" t="str">
        <x:v>Managed runtime / application framework scope</x:v>
      </x:c>
      <x:c r="K44" s="76" t="str">
        <x:v>Resolved</x:v>
      </x:c>
      <x:c r="L44" s="76" t="str">
        <x:v>Accept</x:v>
      </x:c>
      <x:c r="M44" s="76" t="str">
        <x:v>AppSW-iTC</x:v>
      </x:c>
      <x:c r="N44" s="76" t="str">
        <x:v>Updated the trusted-update note so a managed runtime or application framework in the TOE boundary is covered by the TOE update mechanism.</x:v>
      </x:c>
      <x:c r="O44" s="76" t="str">
        <x:v>cPP-Application-Software-v2.0-draft-review - BAH.pdf</x:v>
      </x:c>
    </x:row>
    <x:row r="45" ht="39.599998474121094" hidden="0" customHeight="1">
      <x:c r="A45" s="74" t="str">
        <x:v>BAH-044</x:v>
      </x:c>
      <x:c r="B45" s="74" t="str">
        <x:v>cPP-Application-Software-v2.0-draft-review</x:v>
      </x:c>
      <x:c r="C45" s="75" t="n">
        <x:v>21</x:v>
      </x:c>
      <x:c r="D45" s="74" t="str">
        <x:v>Text</x:v>
      </x:c>
      <x:c r="E45" s="74" t="str">
        <x:v>525185</x:v>
      </x:c>
      <x:c r="F45" s="74" t="str">
        <x:v>2026-07-08 22:53:08</x:v>
      </x:c>
      <x:c r="G45" s="76" t="str">
        <x:v>dependencies, plug-ins, native interface libraries, and other executable dependency artifacts packaged with the TOE. FPT_TUD_EXT.1 Support for Trusted Updates</x:v>
      </x:c>
      <x:c r="H45" s="76" t="str">
        <x:v>Add TD1050 paragraph to App Note: "It is acceptable to complete the Assignment with a reference to the vendor-provided SBOM instead of listing the libraries in the ST."</x:v>
      </x:c>
      <x:c r="I45" s="76" t="str">
        <x:v>Clarification / rationale</x:v>
      </x:c>
      <x:c r="J45" s="76" t="str">
        <x:v>Managed runtime / application framework scope</x:v>
      </x:c>
      <x:c r="K45" s="76" t="str">
        <x:v>Resolved</x:v>
      </x:c>
      <x:c r="L45" s="76" t="str">
        <x:v>Accept</x:v>
      </x:c>
      <x:c r="M45" s="76" t="str">
        <x:v>AppSW-iTC</x:v>
      </x:c>
      <x:c r="N45" s="76" t="str">
        <x:v>Added the TD1050 statement allowing the third-party-library assignment to reference a vendor-provided SBOM.</x:v>
      </x:c>
      <x:c r="O45" s="76" t="str">
        <x:v>cPP-Application-Software-v2.0-draft-review - BAH.pdf</x:v>
      </x:c>
    </x:row>
    <x:row r="46" ht="39.599998474121094" hidden="0" customHeight="1">
      <x:c r="A46" s="74" t="str">
        <x:v>BAH-045</x:v>
      </x:c>
      <x:c r="B46" s="74" t="str">
        <x:v>cPP-Application-Software-v2.0-draft-review</x:v>
      </x:c>
      <x:c r="C46" s="75" t="n">
        <x:v>21</x:v>
      </x:c>
      <x:c r="D46" s="74" t="str">
        <x:v>Highlight</x:v>
      </x:c>
      <x:c r="E46" s="74" t="str">
        <x:v>525185</x:v>
      </x:c>
      <x:c r="F46" s="74" t="str">
        <x:v>2026-07-10 15:38:48</x:v>
      </x:c>
      <x:c r="G46" s="76" t="str">
        <x:v>description shall identify whether updates to the runtime or framework are TOE updates, application dependency updates, platform updates, or operational environment updates.</x:v>
      </x:c>
      <x:c r="H46" s="76" t="str">
        <x:v>All of these would be outside of the TOE and would not be applicable to the SFR. Recommend deleting and updating per above comment</x:v>
      </x:c>
      <x:c r="I46" s="76" t="str">
        <x:v>Requirement alignment</x:v>
      </x:c>
      <x:c r="J46" s="76" t="str">
        <x:v>Managed runtime / application framework scope</x:v>
      </x:c>
      <x:c r="K46" s="76" t="str">
        <x:v>Resolved</x:v>
      </x:c>
      <x:c r="L46" s="76" t="str">
        <x:v>Accept</x:v>
      </x:c>
      <x:c r="M46" s="76" t="str">
        <x:v>AppSW-iTC</x:v>
      </x:c>
      <x:c r="N46" s="76" t="str">
        <x:v>Removed the operational-environment runtime update classification and limited the update obligation to a runtime or framework within the TOE boundary.</x:v>
      </x:c>
      <x:c r="O46" s="76" t="str">
        <x:v>cPP-Application-Software-v2.0-draft-review - BAH.pdf</x:v>
      </x:c>
    </x:row>
    <x:row r="47" ht="39.599998474121094" hidden="0" customHeight="1">
      <x:c r="A47" s="74" t="str">
        <x:v>BAH-046</x:v>
      </x:c>
      <x:c r="B47" s="74" t="str">
        <x:v>cPP-Application-Software-v2.0-draft-review</x:v>
      </x:c>
      <x:c r="C47" s="75" t="n">
        <x:v>22</x:v>
      </x:c>
      <x:c r="D47" s="74" t="str">
        <x:v>Highlight</x:v>
      </x:c>
      <x:c r="E47" s="74" t="str">
        <x:v>525185</x:v>
      </x:c>
      <x:c r="F47" s="74" t="str">
        <x:v>2026-07-08 22:50:13</x:v>
      </x:c>
      <x:c r="G47" s="76" t="str">
        <x:v>trusted IT product or TOE component.</x:v>
      </x:c>
      <x:c r="H47" s="76" t="str">
        <x:v>[selection: trusted IT product, TOE component]</x:v>
      </x:c>
      <x:c r="I47" s="76" t="str">
        <x:v>Requirement alignment</x:v>
      </x:c>
      <x:c r="J47" s="76" t="str">
        <x:v>Distributed TOE allocation, IPC, and loopback scope</x:v>
      </x:c>
      <x:c r="K47" s="76" t="str">
        <x:v>Resolved</x:v>
      </x:c>
      <x:c r="L47" s="76" t="str">
        <x:v>Accept</x:v>
      </x:c>
      <x:c r="M47" s="76" t="str">
        <x:v>AppSW-iTC</x:v>
      </x:c>
      <x:c r="N47" s="76" t="str">
        <x:v>Converted the communication peer to an explicit multi-selection of trusted IT product and TOE Component Instance. The ST selects every target type used by the TOE.</x:v>
      </x:c>
      <x:c r="O47" s="76" t="str">
        <x:v>cPP-Application-Software-v2.0-draft-review - BAH.pdf</x:v>
      </x:c>
    </x:row>
    <x:row r="48" ht="118.80000305175781" hidden="0" customHeight="1">
      <x:c r="A48" s="74" t="str">
        <x:v>BAH-047</x:v>
      </x:c>
      <x:c r="B48" s="74" t="str">
        <x:v>cPP-Application-Software-v2.0-draft-review</x:v>
      </x:c>
      <x:c r="C48" s="75" t="n">
        <x:v>22</x:v>
      </x:c>
      <x:c r="D48" s="74" t="str">
        <x:v>Highlight</x:v>
      </x:c>
      <x:c r="E48" s="74" t="str">
        <x:v>525185</x:v>
      </x:c>
      <x:c r="F48" s="74" t="str">
        <x:v>2026-07-10 15:48:18</x:v>
      </x:c>
      <x:c r="G48" s="76" t="str">
        <x:v>TOE components is not sufficient rationale for omitting protection of transmitted data. If TOE components communicate using non-network local inter-process communication, such as named pipes, Unix domain sockets, shared memory, platform-brokered IPC, or equivalent mechanisms, the ST shall identify the mechanism and describe the base cPP requirements, platform access controls, object permissions, isolation mechanisms, configuration controls, or operational guidance that protect the communication path and restrict access to authorized TOE components.</x:v>
      </x:c>
      <x:c r="H48" s="76" t="str">
        <x:v>This seems getting into a level of detail we haven't seen in other PPs to date. Would be good to have quick call for the need to describe this level of design detail. If this is purely to justify why something does not need to have an encrypted connection, unsure if this needs to be described in the ST.</x:v>
      </x:c>
      <x:c r="I48" s="76" t="str">
        <x:v>Editorial / publication</x:v>
      </x:c>
      <x:c r="J48" s="76" t="str">
        <x:v>Distributed TOE allocation, IPC, and loopback scope</x:v>
      </x:c>
      <x:c r="K48" s="76" t="str">
        <x:v>Resolved</x:v>
      </x:c>
      <x:c r="L48" s="76" t="str">
        <x:v>Accept with adaptation</x:v>
      </x:c>
      <x:c r="M48" s="76" t="str">
        <x:v>AppSW-iTC</x:v>
      </x:c>
      <x:c r="N48" s="76" t="str">
        <x:v>Retained the base cPP obligation to identify non-network IPC and clarified in the Server-Agent configuration that the description is limited to the mechanism and architecture-level protection relied upon. Detailed implementation or configuration information is required only when an SFR or EA requires it.</x:v>
      </x:c>
      <x:c r="O48" s="76" t="str">
        <x:v>cPP-Application-Software-v2.0-draft-review - BAH.pdf</x:v>
      </x:c>
    </x:row>
    <x:row r="49" ht="79.19999694824219" hidden="0" customHeight="1">
      <x:c r="A49" s="74" t="str">
        <x:v>BAH-048</x:v>
      </x:c>
      <x:c r="B49" s="74" t="str">
        <x:v>cPP-Application-Software-v2.0-draft-review</x:v>
      </x:c>
      <x:c r="C49" s="75" t="n">
        <x:v>22</x:v>
      </x:c>
      <x:c r="D49" s="74" t="str">
        <x:v>Highlight</x:v>
      </x:c>
      <x:c r="E49" s="74" t="str">
        <x:v>525185</x:v>
      </x:c>
      <x:c r="F49" s="74" t="str">
        <x:v>2026-07-10 15:51:52</x:v>
      </x:c>
      <x:c r="G49" s="76" t="str">
        <x:v>this loopback,</x:v>
      </x:c>
      <x:c r="H49" s="76" t="str">
        <x:v>If a TOE component installs a database and uses the loopback to communicate with that database and is the only component communicating with that database, this seems to now mandate encryption to that database. Understand this might be coming from NIAP's concern about people getting around requirements by installing a distributed TOE all on one machine. But is this the intended result.</x:v>
      </x:c>
      <x:c r="I49" s="76" t="str">
        <x:v>Editorial / publication</x:v>
      </x:c>
      <x:c r="J49" s="76" t="str">
        <x:v>Distributed TOE allocation, IPC, and loopback scope</x:v>
      </x:c>
      <x:c r="K49" s="76" t="str">
        <x:v>Resolved</x:v>
      </x:c>
      <x:c r="L49" s="76" t="str">
        <x:v>Clarify with reviewer</x:v>
      </x:c>
      <x:c r="M49" s="76" t="str">
        <x:v>AppSW-iTC</x:v>
      </x:c>
      <x:c r="N49" s="76" t="str">
        <x:v>Confirmed the intended outcome: a database service reached through a network stack, including loopback, is a transmitted-data endpoint. The ST identifies it as a TOE Component Instance or selected trusted IT product; in-process calls and direct local storage remain outside FTP_DIT_EXT.1. A loopback path is explicitly exercised where present.</x:v>
      </x:c>
      <x:c r="O49" s="76" t="str">
        <x:v>cPP-Application-Software-v2.0-draft-review - BAH.pdf</x:v>
      </x:c>
    </x:row>
    <x:row r="50" ht="39.599998474121094" hidden="0" customHeight="1">
      <x:c r="A50" s="74" t="str">
        <x:v>BAH-049</x:v>
      </x:c>
      <x:c r="B50" s="74" t="str">
        <x:v>cPP-Application-Software-v2.0-draft-review</x:v>
      </x:c>
      <x:c r="C50" s="75" t="n">
        <x:v>69</x:v>
      </x:c>
      <x:c r="D50" s="74" t="str">
        <x:v>Highlight</x:v>
      </x:c>
      <x:c r="E50" s="74" t="str">
        <x:v>525185</x:v>
      </x:c>
      <x:c r="F50" s="74" t="str">
        <x:v>2026-07-08 22:51:26</x:v>
      </x:c>
      <x:c r="G50" s="76" t="str">
        <x:v>trusted IT product or TOE component.</x:v>
      </x:c>
      <x:c r="H50" s="76" t="str">
        <x:v>[selection: trusted IT product, TOE component]</x:v>
      </x:c>
      <x:c r="I50" s="76" t="str">
        <x:v>Requirement alignment</x:v>
      </x:c>
      <x:c r="J50" s="76" t="str">
        <x:v>Distributed TOE allocation, IPC, and loopback scope</x:v>
      </x:c>
      <x:c r="K50" s="76" t="str">
        <x:v>Resolved</x:v>
      </x:c>
      <x:c r="L50" s="76" t="str">
        <x:v>Accept</x:v>
      </x:c>
      <x:c r="M50" s="76" t="str">
        <x:v>AppSW-iTC</x:v>
      </x:c>
      <x:c r="N50" s="76" t="str">
        <x:v>Applied the same explicit multi-selection of trusted IT product and TOE Component Instance in the extended-component definition.</x:v>
      </x:c>
      <x:c r="O50" s="76" t="str">
        <x:v>cPP-Application-Software-v2.0-draft-review - BAH.pdf</x:v>
      </x:c>
    </x:row>
  </x:sheetData>
  <x:conditionalFormatting sqref="K2:K50">
    <x:cfRule type="containsText" dxfId="0" priority="1" operator="containsText" text="Not reviewed"/>
    <x:cfRule type="containsText" dxfId="1" priority="2" operator="containsText" text="Resolved"/>
  </x:conditionalFormatting>
  <x:dataValidations count="2">
    <x:dataValidation type="list" sqref="K2:K50">
      <x:formula1>"Not reviewed,In analysis,Resolved,Deferred"</x:formula1>
    </x:dataValidation>
    <x:dataValidation type="list" sqref="L2:L50">
      <x:formula1>",Accept,Accept with adaptation,Clarify with reviewer,Reject with rationale"</x:formula1>
    </x:dataValidation>
  </x:dataValidations>
  <x:pageMargins left="0.7" right="0.7" top="0.75" bottom="0.75" header="0.3" footer="0.3"/>
  <x:tableParts count="1">
    <x:tablePart xmlns:r="http://schemas.openxmlformats.org/officeDocument/2006/relationships" r:id="R4045f6a377aa4dab"/>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2" hidden="0" customWidth="1"/>
    <x:col min="2" max="2" width="42" hidden="0" customWidth="1"/>
    <x:col min="3" max="3" width="42" hidden="0" customWidth="1"/>
    <x:col min="4" max="4" width="24" hidden="0" customWidth="1"/>
    <x:col min="5" max="5" width="78" hidden="0" customWidth="1"/>
    <x:col min="6" max="6" width="54" hidden="0" customWidth="1"/>
  </x:cols>
  <x:sheetData>
    <x:row r="1" ht="30" customHeight="1">
      <x:c r="A1" s="4" t="str">
        <x:v>BAH Draft Review Disposition and Rationale</x:v>
      </x:c>
      <x:c r="B1" s="4"/>
      <x:c r="C1" s="4"/>
      <x:c r="D1" s="4"/>
      <x:c r="E1" s="4"/>
      <x:c r="F1" s="4"/>
    </x:row>
    <x:row r="2" ht="38" customHeight="1">
      <x:c r="A2" s="8" t="str">
        <x:v>Reviewer-facing response for all 49 BAH draft-review comments. Each row identifies the disposition, rationale, and principal source update in the next revision.</x:v>
      </x:c>
      <x:c r="B2" s="8"/>
      <x:c r="C2" s="8"/>
      <x:c r="D2" s="8"/>
      <x:c r="E2" s="8"/>
      <x:c r="F2" s="8"/>
    </x:row>
    <x:row r="4" ht="34" customHeight="1">
      <x:c r="A4" s="78" t="str">
        <x:v>ID</x:v>
      </x:c>
      <x:c r="B4" s="78" t="str">
        <x:v>Document</x:v>
      </x:c>
      <x:c r="C4" s="78" t="str">
        <x:v>Discussion Group</x:v>
      </x:c>
      <x:c r="D4" s="78" t="str">
        <x:v>Disposition</x:v>
      </x:c>
      <x:c r="E4" s="78" t="str">
        <x:v>Response and Rationale</x:v>
      </x:c>
      <x:c r="F4" s="78" t="str">
        <x:v>Principal Source Update</x:v>
      </x:c>
    </x:row>
    <x:row r="5" ht="72" customHeight="1">
      <x:c r="A5" s="76" t="str">
        <x:v>BAH-001</x:v>
      </x:c>
      <x:c r="B5" s="76" t="str">
        <x:v>PP-Configuration-Server-Agent-v2.0-draft-review</x:v>
      </x:c>
      <x:c r="C5" s="76" t="str">
        <x:v>Publication metadata and referenced versions</x:v>
      </x:c>
      <x:c r="D5" s="76" t="str">
        <x:v>Accept</x:v>
      </x:c>
      <x:c r="E5" s="76" t="str">
        <x:v>Updated the Server-Agent configuration title, version, date, and shorthand identifier to the Version 2.0 draft-review values.</x:v>
      </x:c>
      <x:c r="F5" s="76" t="str">
        <x:v>Server-Agent configuration metadata</x:v>
      </x:c>
    </x:row>
    <x:row r="6" ht="72" customHeight="1">
      <x:c r="A6" s="76" t="str">
        <x:v>BAH-002</x:v>
      </x:c>
      <x:c r="B6" s="76" t="str">
        <x:v>PP-Configuration-Server-Agent-v2.0-draft-review</x:v>
      </x:c>
      <x:c r="C6" s="76" t="str">
        <x:v>Publication metadata and referenced versions</x:v>
      </x:c>
      <x:c r="D6" s="76" t="str">
        <x:v>Accept</x:v>
      </x:c>
      <x:c r="E6" s="76" t="str">
        <x:v>Updated the Server-Agent configuration's base cPP reference to cPP_APP_SW_V2.0.</x:v>
      </x:c>
      <x:c r="F6" s="76" t="str">
        <x:v>Server-Agent configuration references</x:v>
      </x:c>
    </x:row>
    <x:row r="7" ht="72" customHeight="1">
      <x:c r="A7" s="76" t="str">
        <x:v>BAH-003</x:v>
      </x:c>
      <x:c r="B7" s="76" t="str">
        <x:v>PP-Configuration-Server-Agent-v2.0-draft-review</x:v>
      </x:c>
      <x:c r="C7" s="76" t="str">
        <x:v>Publication metadata and referenced versions</x:v>
      </x:c>
      <x:c r="D7" s="76" t="str">
        <x:v>Accept</x:v>
      </x:c>
      <x:c r="E7" s="76" t="str">
        <x:v>Updated the Server-Agent configuration's Server module reference to MOD_Server_v2.0.</x:v>
      </x:c>
      <x:c r="F7" s="76" t="str">
        <x:v>Server-Agent configuration references</x:v>
      </x:c>
    </x:row>
    <x:row r="8" ht="72" customHeight="1">
      <x:c r="A8" s="76" t="str">
        <x:v>BAH-004</x:v>
      </x:c>
      <x:c r="B8" s="76" t="str">
        <x:v>PP-Configuration-Server-Agent-v2.0-draft-review</x:v>
      </x:c>
      <x:c r="C8" s="76" t="str">
        <x:v>Publication metadata and referenced versions</x:v>
      </x:c>
      <x:c r="D8" s="76" t="str">
        <x:v>Accept</x:v>
      </x:c>
      <x:c r="E8" s="76" t="str">
        <x:v>Updated the Server-Agent configuration's Agent module reference to MOD_Agent_v2.0.</x:v>
      </x:c>
      <x:c r="F8" s="76" t="str">
        <x:v>Server-Agent configuration references</x:v>
      </x:c>
    </x:row>
    <x:row r="9" ht="72" customHeight="1">
      <x:c r="A9" s="76" t="str">
        <x:v>BAH-005</x:v>
      </x:c>
      <x:c r="B9" s="76" t="str">
        <x:v>PP-Configuration-Server-Agent-v2.0-draft-review</x:v>
      </x:c>
      <x:c r="C9" s="76" t="str">
        <x:v>Distributed TOE allocation, IPC, and loopback scope</x:v>
      </x:c>
      <x:c r="D9" s="76" t="str">
        <x:v>Accept with adaptation</x:v>
      </x:c>
      <x:c r="E9" s="76" t="str">
        <x:v>Retained Applicable Components for component allocation. Feature Dependent is now explicitly a condition of applicability, not an alternative allocation that can narrow coverage.</x:v>
      </x:c>
      <x:c r="F9" s="76" t="str">
        <x:v>Server-Agent configuration, allocation definitions and worked example</x:v>
      </x:c>
    </x:row>
    <x:row r="10" ht="72" customHeight="1">
      <x:c r="A10" s="76" t="str">
        <x:v>BAH-006</x:v>
      </x:c>
      <x:c r="B10" s="76" t="str">
        <x:v>PP-Configuration-Server-Agent-v2.0-draft-review</x:v>
      </x:c>
      <x:c r="C10" s="76" t="str">
        <x:v>Distributed TOE allocation, IPC, and loopback scope</x:v>
      </x:c>
      <x:c r="D10" s="76" t="str">
        <x:v>Accept with adaptation</x:v>
      </x:c>
      <x:c r="E10" s="76" t="str">
        <x:v>Clarified the two-stage model: a feature or selection determines whether an SFR is claimed; Applicable Components identifies every component with a concrete obligation once it is claimed.</x:v>
      </x:c>
      <x:c r="F10" s="76" t="str">
        <x:v>Server-Agent configuration, allocation definitions and worked example</x:v>
      </x:c>
    </x:row>
    <x:row r="11" ht="72" customHeight="1">
      <x:c r="A11" s="76" t="str">
        <x:v>BAH-007</x:v>
      </x:c>
      <x:c r="B11" s="76" t="str">
        <x:v>PP-Configuration-Server-Agent-v2.0-draft-review</x:v>
      </x:c>
      <x:c r="C11" s="76" t="str">
        <x:v>Distributed TOE allocation, IPC, and loopback scope</x:v>
      </x:c>
      <x:c r="D11" s="76" t="str">
        <x:v>Accept with adaptation</x:v>
      </x:c>
      <x:c r="E11" s="76" t="str">
        <x:v>Reframed the allocation rationale around allocation category plus feature-dependent condition, retained network-stack coverage independent of locality, and limited non-network IPC documentation to architecture-level protection unless an SFR or EA needs more detail.</x:v>
      </x:c>
      <x:c r="F11" s="76" t="str">
        <x:v>Server-Agent configuration, distributed TOE rationale</x:v>
      </x:c>
    </x:row>
    <x:row r="12" ht="72" customHeight="1">
      <x:c r="A12" s="76" t="str">
        <x:v>BAH-008</x:v>
      </x:c>
      <x:c r="B12" s="76" t="str">
        <x:v>PP-Configuration-Server-Agent-v2.0-draft-review</x:v>
      </x:c>
      <x:c r="C12" s="76" t="str">
        <x:v>Distributed TOE allocation, IPC, and loopback scope</x:v>
      </x:c>
      <x:c r="D12" s="76" t="str">
        <x:v>Accept with adaptation</x:v>
      </x:c>
      <x:c r="E12" s="76" t="str">
        <x:v>Specified element-level allocation. Components need satisfy only the SFR elements they implement, while the evaluation evidence jointly covers every allocated element and cannot be satisfied by a representative component without demonstrated equivalence.</x:v>
      </x:c>
      <x:c r="F12" s="76" t="str">
        <x:v>Server-Agent configuration, allocation rule and FPT_TUD_EXT.2 example</x:v>
      </x:c>
    </x:row>
    <x:row r="13" ht="72" customHeight="1">
      <x:c r="A13" s="76" t="str">
        <x:v>BAH-009</x:v>
      </x:c>
      <x:c r="B13" s="76" t="str">
        <x:v>PP-Configuration-Server-v2.0-draft-review</x:v>
      </x:c>
      <x:c r="C13" s="76" t="str">
        <x:v>Publication metadata and referenced versions</x:v>
      </x:c>
      <x:c r="D13" s="76" t="str">
        <x:v>Accept</x:v>
      </x:c>
      <x:c r="E13" s="76" t="str">
        <x:v>Updated the Server configuration title, version, date, and shorthand identifier to Version 2.0 draft-review values.</x:v>
      </x:c>
      <x:c r="F13" s="76" t="str">
        <x:v>Server configuration metadata</x:v>
      </x:c>
    </x:row>
    <x:row r="14" ht="72" customHeight="1">
      <x:c r="A14" s="76" t="str">
        <x:v>BAH-010</x:v>
      </x:c>
      <x:c r="B14" s="76" t="str">
        <x:v>PP-Configuration-Server-v2.0-draft-review</x:v>
      </x:c>
      <x:c r="C14" s="76" t="str">
        <x:v>Publication metadata and referenced versions</x:v>
      </x:c>
      <x:c r="D14" s="76" t="str">
        <x:v>Accept</x:v>
      </x:c>
      <x:c r="E14" s="76" t="str">
        <x:v>Updated the Server configuration's base cPP reference to cPP_APP_SW_V2.0.</x:v>
      </x:c>
      <x:c r="F14" s="76" t="str">
        <x:v>Server configuration references</x:v>
      </x:c>
    </x:row>
    <x:row r="15" ht="72" customHeight="1">
      <x:c r="A15" s="76" t="str">
        <x:v>BAH-011</x:v>
      </x:c>
      <x:c r="B15" s="76" t="str">
        <x:v>PP-Configuration-Server-v2.0-draft-review</x:v>
      </x:c>
      <x:c r="C15" s="76" t="str">
        <x:v>Publication metadata and referenced versions</x:v>
      </x:c>
      <x:c r="D15" s="76" t="str">
        <x:v>Accept</x:v>
      </x:c>
      <x:c r="E15" s="76" t="str">
        <x:v>Updated the Server configuration's Server module reference to MOD_Server_v2.0.</x:v>
      </x:c>
      <x:c r="F15" s="76" t="str">
        <x:v>Server configuration references</x:v>
      </x:c>
    </x:row>
    <x:row r="16" ht="72" customHeight="1">
      <x:c r="A16" s="76" t="str">
        <x:v>BAH-012</x:v>
      </x:c>
      <x:c r="B16" s="76" t="str">
        <x:v>PP-Module-Agent-v2.0-draft-review</x:v>
      </x:c>
      <x:c r="C16" s="76" t="str">
        <x:v>Publication metadata and referenced versions</x:v>
      </x:c>
      <x:c r="D16" s="76" t="str">
        <x:v>Accept</x:v>
      </x:c>
      <x:c r="E16" s="76" t="str">
        <x:v>Updated Agent PP-Module metadata and revision history to Version 2.0 draft-review values.</x:v>
      </x:c>
      <x:c r="F16" s="76" t="str">
        <x:v>Agent PP-Module metadata</x:v>
      </x:c>
    </x:row>
    <x:row r="17" ht="72" customHeight="1">
      <x:c r="A17" s="76" t="str">
        <x:v>BAH-013</x:v>
      </x:c>
      <x:c r="B17" s="76" t="str">
        <x:v>PP-Module-Agent-v2.0-draft-review</x:v>
      </x:c>
      <x:c r="C17" s="76" t="str">
        <x:v>Agent terminology and SFR iteration cleanup</x:v>
      </x:c>
      <x:c r="D17" s="76" t="str">
        <x:v>Accept</x:v>
      </x:c>
      <x:c r="E17" s="76" t="str">
        <x:v>Removed the /Agent suffix from FCO_CPC_EXT.1 because it is not an iteration.</x:v>
      </x:c>
      <x:c r="F17" s="76" t="str">
        <x:v>Agent PP-Module</x:v>
      </x:c>
    </x:row>
    <x:row r="18" ht="72" customHeight="1">
      <x:c r="A18" s="76" t="str">
        <x:v>BAH-014</x:v>
      </x:c>
      <x:c r="B18" s="76" t="str">
        <x:v>PP-Module-Server-v2.0-draft-review</x:v>
      </x:c>
      <x:c r="C18" s="76" t="str">
        <x:v>Publication metadata and referenced versions</x:v>
      </x:c>
      <x:c r="D18" s="76" t="str">
        <x:v>Accept</x:v>
      </x:c>
      <x:c r="E18" s="76" t="str">
        <x:v>Updated Server PP-Module metadata and revision history to Version 2.0 draft-review values.</x:v>
      </x:c>
      <x:c r="F18" s="76" t="str">
        <x:v>Server PP-Module metadata</x:v>
      </x:c>
    </x:row>
    <x:row r="19" ht="72" customHeight="1">
      <x:c r="A19" s="76" t="str">
        <x:v>BAH-015</x:v>
      </x:c>
      <x:c r="B19" s="76" t="str">
        <x:v>PP-Module-Server-v2.0-draft-review</x:v>
      </x:c>
      <x:c r="C19" s="76" t="str">
        <x:v>Server module alignment with the base cPP</x:v>
      </x:c>
      <x:c r="D19" s="76" t="str">
        <x:v>Accept</x:v>
      </x:c>
      <x:c r="E19" s="76" t="str">
        <x:v>Removed the inaccurate statement that FPT_AEX_EXT.1.3 contains a no-exceptions assignment; the cited base requirement has no such assignment.</x:v>
      </x:c>
      <x:c r="F19" s="76" t="str">
        <x:v>Server PP-Module, FPT_AEX_EXT.2/Server application note</x:v>
      </x:c>
    </x:row>
    <x:row r="20" ht="72" customHeight="1">
      <x:c r="A20" s="76" t="str">
        <x:v>BAH-016</x:v>
      </x:c>
      <x:c r="B20" s="76" t="str">
        <x:v>PP-Module-Server-v2.0-draft-review</x:v>
      </x:c>
      <x:c r="C20" s="76" t="str">
        <x:v>Server module alignment with the base cPP</x:v>
      </x:c>
      <x:c r="D20" s="76" t="str">
        <x:v>Clarify with reviewer</x:v>
      </x:c>
      <x:c r="E20" s="76" t="str">
        <x:v>Retained the Server refinement because containerized Server payloads need evidence that the mandatory-access-control profile reaches the actual payload. The common platform test remains in the base cPP; the Server EA adds only the container-specific evidence.</x:v>
      </x:c>
      <x:c r="F20" s="76" t="str">
        <x:v>Server PP-Module and Supporting Document, FPT_AEX_EXT.2/Server</x:v>
      </x:c>
    </x:row>
    <x:row r="21" ht="72" customHeight="1">
      <x:c r="A21" s="76" t="str">
        <x:v>BAH-017</x:v>
      </x:c>
      <x:c r="B21" s="76" t="str">
        <x:v>SD-Application-Software-v2.0-draft-review</x:v>
      </x:c>
      <x:c r="C21" s="76" t="str">
        <x:v>Managed runtime / application framework scope</x:v>
      </x:c>
      <x:c r="D21" s="76" t="str">
        <x:v>Accept</x:v>
      </x:c>
      <x:c r="E21" s="76" t="str">
        <x:v>Incorporated the TD1026 wording for UWP .NET applications and the non-UWP/non-Classic-Desktop case.</x:v>
      </x:c>
      <x:c r="F21" s="76" t="str">
        <x:v>Base cPP, FMT_MEC_EXT.1 Windows EA</x:v>
      </x:c>
    </x:row>
    <x:row r="22" ht="72" customHeight="1">
      <x:c r="A22" s="76" t="str">
        <x:v>BAH-018</x:v>
      </x:c>
      <x:c r="B22" s="76" t="str">
        <x:v>SD-Application-Software-v2.0-draft-review</x:v>
      </x:c>
      <x:c r="C22" s="76" t="str">
        <x:v>Managed runtime / application framework scope</x:v>
      </x:c>
      <x:c r="D22" s="76" t="str">
        <x:v>Accept</x:v>
      </x:c>
      <x:c r="E22" s="76" t="str">
        <x:v>Recast the affected text as applying to managed runtime or application framework based TOEs.</x:v>
      </x:c>
      <x:c r="F22" s="76" t="str">
        <x:v>Base cPP, managed-runtime terminology</x:v>
      </x:c>
    </x:row>
    <x:row r="23" ht="72" customHeight="1">
      <x:c r="A23" s="76" t="str">
        <x:v>BAH-019</x:v>
      </x:c>
      <x:c r="B23" s="76" t="str">
        <x:v>SD-Application-Software-v2.0-draft-review</x:v>
      </x:c>
      <x:c r="C23" s="76" t="str">
        <x:v>Managed runtime / application framework scope</x:v>
      </x:c>
      <x:c r="D23" s="76" t="str">
        <x:v>Accept</x:v>
      </x:c>
      <x:c r="E23" s="76" t="str">
        <x:v>Recast the affected text as applying to managed runtime or application framework based TOEs.</x:v>
      </x:c>
      <x:c r="F23" s="76" t="str">
        <x:v>Base cPP, managed-runtime terminology</x:v>
      </x:c>
    </x:row>
    <x:row r="24" ht="72" customHeight="1">
      <x:c r="A24" s="76" t="str">
        <x:v>BAH-020</x:v>
      </x:c>
      <x:c r="B24" s="76" t="str">
        <x:v>SD-Application-Software-v2.0-draft-review</x:v>
      </x:c>
      <x:c r="C24" s="76" t="str">
        <x:v>Managed runtime / application framework scope</x:v>
      </x:c>
      <x:c r="D24" s="76" t="str">
        <x:v>Accept</x:v>
      </x:c>
      <x:c r="E24" s="76" t="str">
        <x:v>Clarified that Classic Desktop applications include those implemented in .NET.</x:v>
      </x:c>
      <x:c r="F24" s="76" t="str">
        <x:v>Base cPP, Windows EA</x:v>
      </x:c>
    </x:row>
    <x:row r="25" ht="72" customHeight="1">
      <x:c r="A25" s="76" t="str">
        <x:v>BAH-021</x:v>
      </x:c>
      <x:c r="B25" s="76" t="str">
        <x:v>SD-Application-Software-v2.0-draft-review</x:v>
      </x:c>
      <x:c r="C25" s="76" t="str">
        <x:v>Managed runtime / application framework scope</x:v>
      </x:c>
      <x:c r="D25" s="76" t="str">
        <x:v>Accept</x:v>
      </x:c>
      <x:c r="E25" s="76" t="str">
        <x:v>Recast the affected text as applying to managed runtime or application framework based TOEs.</x:v>
      </x:c>
      <x:c r="F25" s="76" t="str">
        <x:v>Base cPP, managed-runtime terminology</x:v>
      </x:c>
    </x:row>
    <x:row r="26" ht="72" customHeight="1">
      <x:c r="A26" s="76" t="str">
        <x:v>BAH-022</x:v>
      </x:c>
      <x:c r="B26" s="76" t="str">
        <x:v>SD-Application-Software-v2.0-draft-review</x:v>
      </x:c>
      <x:c r="C26" s="76" t="str">
        <x:v>Managed runtime / application framework scope</x:v>
      </x:c>
      <x:c r="D26" s="76" t="str">
        <x:v>Accept</x:v>
      </x:c>
      <x:c r="E26" s="76" t="str">
        <x:v>Narrowed the JIT/native-interface treatment to mechanisms within the TOE boundary.</x:v>
      </x:c>
      <x:c r="F26" s="76" t="str">
        <x:v>Base cPP, FPT_AEX_EXT.1</x:v>
      </x:c>
    </x:row>
    <x:row r="27" ht="72" customHeight="1">
      <x:c r="A27" s="76" t="str">
        <x:v>BAH-023</x:v>
      </x:c>
      <x:c r="B27" s="76" t="str">
        <x:v>SD-Application-Software-v2.0-draft-review</x:v>
      </x:c>
      <x:c r="C27" s="76" t="str">
        <x:v>Managed runtime / application framework scope</x:v>
      </x:c>
      <x:c r="D27" s="76" t="str">
        <x:v>Accept</x:v>
      </x:c>
      <x:c r="E27" s="76" t="str">
        <x:v>Recast the affected text as applying to managed runtime or application framework based TOEs.</x:v>
      </x:c>
      <x:c r="F27" s="76" t="str">
        <x:v>Base cPP, managed-runtime terminology</x:v>
      </x:c>
    </x:row>
    <x:row r="28" ht="72" customHeight="1">
      <x:c r="A28" s="76" t="str">
        <x:v>BAH-024</x:v>
      </x:c>
      <x:c r="B28" s="76" t="str">
        <x:v>SD-Application-Software-v2.0-draft-review</x:v>
      </x:c>
      <x:c r="C28" s="76" t="str">
        <x:v>Managed runtime / application framework scope</x:v>
      </x:c>
      <x:c r="D28" s="76" t="str">
        <x:v>Accept</x:v>
      </x:c>
      <x:c r="E28" s="76" t="str">
        <x:v>Limited third-party-library and runtime treatment to artifacts within the TOE boundary and removed the operational-environment runtime documentation burden.</x:v>
      </x:c>
      <x:c r="F28" s="76" t="str">
        <x:v>Base cPP, FPT_LIB_EXT.1</x:v>
      </x:c>
    </x:row>
    <x:row r="29" ht="72" customHeight="1">
      <x:c r="A29" s="76" t="str">
        <x:v>BAH-025</x:v>
      </x:c>
      <x:c r="B29" s="76" t="str">
        <x:v>SD-Module-Agent-v2.0-draft-review</x:v>
      </x:c>
      <x:c r="C29" s="76" t="str">
        <x:v>Publication metadata and referenced versions</x:v>
      </x:c>
      <x:c r="D29" s="76" t="str">
        <x:v>Accept</x:v>
      </x:c>
      <x:c r="E29" s="76" t="str">
        <x:v>Updated Agent Supporting Document metadata and revision history to Version 2.0 draft-review values.</x:v>
      </x:c>
      <x:c r="F29" s="76" t="str">
        <x:v>Agent Supporting Document metadata</x:v>
      </x:c>
    </x:row>
    <x:row r="30" ht="72" customHeight="1">
      <x:c r="A30" s="76" t="str">
        <x:v>BAH-026</x:v>
      </x:c>
      <x:c r="B30" s="76" t="str">
        <x:v>SD-Module-Agent-v2.0-draft-review</x:v>
      </x:c>
      <x:c r="C30" s="76" t="str">
        <x:v>Publication metadata and referenced versions</x:v>
      </x:c>
      <x:c r="D30" s="76" t="str">
        <x:v>Accept</x:v>
      </x:c>
      <x:c r="E30" s="76" t="str">
        <x:v>Updated the Agent Supporting Document's module reference to Version 2.0.</x:v>
      </x:c>
      <x:c r="F30" s="76" t="str">
        <x:v>Agent Supporting Document references</x:v>
      </x:c>
    </x:row>
    <x:row r="31" ht="72" customHeight="1">
      <x:c r="A31" s="76" t="str">
        <x:v>BAH-027</x:v>
      </x:c>
      <x:c r="B31" s="76" t="str">
        <x:v>SD-Module-Agent-v2.0-draft-review</x:v>
      </x:c>
      <x:c r="C31" s="76" t="str">
        <x:v>Agent terminology and SFR iteration cleanup</x:v>
      </x:c>
      <x:c r="D31" s="76" t="str">
        <x:v>Accept</x:v>
      </x:c>
      <x:c r="E31" s="76" t="str">
        <x:v>Removed the /Agent suffix from FCO_CPC_EXT.1 throughout the Agent Supporting Document.</x:v>
      </x:c>
      <x:c r="F31" s="76" t="str">
        <x:v>Agent Supporting Document</x:v>
      </x:c>
    </x:row>
    <x:row r="32" ht="72" customHeight="1">
      <x:c r="A32" s="76" t="str">
        <x:v>BAH-028</x:v>
      </x:c>
      <x:c r="B32" s="76" t="str">
        <x:v>SD-Module-Agent-v2.0-draft-review</x:v>
      </x:c>
      <x:c r="C32" s="76" t="str">
        <x:v>Agent terminology and SFR iteration cleanup</x:v>
      </x:c>
      <x:c r="D32" s="76" t="str">
        <x:v>Accept</x:v>
      </x:c>
      <x:c r="E32" s="76" t="str">
        <x:v>Removed the obsolete statement that the relevant SFR is an iteration defined by the module.</x:v>
      </x:c>
      <x:c r="F32" s="76" t="str">
        <x:v>Agent Supporting Document</x:v>
      </x:c>
    </x:row>
    <x:row r="33" ht="72" customHeight="1">
      <x:c r="A33" s="76" t="str">
        <x:v>BAH-029</x:v>
      </x:c>
      <x:c r="B33" s="76" t="str">
        <x:v>SD-Module-Agent-v2.0-draft-review</x:v>
      </x:c>
      <x:c r="C33" s="76" t="str">
        <x:v>Agent registration and communication tests</x:v>
      </x:c>
      <x:c r="D33" s="76" t="str">
        <x:v>Accept with adaptation</x:v>
      </x:c>
      <x:c r="E33" s="76" t="str">
        <x:v>Removed the unexplained first-type/second-type distinction. The TSS now identifies a selected protected registration channel, its relationship, FTP_DIT_EXT.1 claim, and security characteristics.</x:v>
      </x:c>
      <x:c r="F33" s="76" t="str">
        <x:v>Agent Supporting Document, FCO_CPC_EXT.1 TSS</x:v>
      </x:c>
    </x:row>
    <x:row r="34" ht="72" customHeight="1">
      <x:c r="A34" s="76" t="str">
        <x:v>BAH-030</x:v>
      </x:c>
      <x:c r="B34" s="76" t="str">
        <x:v>SD-Module-Agent-v2.0-draft-review</x:v>
      </x:c>
      <x:c r="C34" s="76" t="str">
        <x:v>Agent registration and communication tests</x:v>
      </x:c>
      <x:c r="D34" s="76" t="str">
        <x:v>Accept</x:v>
      </x:c>
      <x:c r="E34" s="76" t="str">
        <x:v>Made the channel-description activity conditional on selecting a channel protected according to FTP_DIT_EXT.1; no channel description is required for the no-channel selection.</x:v>
      </x:c>
      <x:c r="F34" s="76" t="str">
        <x:v>Agent Supporting Document, FCO_CPC_EXT.1 TSS</x:v>
      </x:c>
    </x:row>
    <x:row r="35" ht="72" customHeight="1">
      <x:c r="A35" s="76" t="str">
        <x:v>BAH-031</x:v>
      </x:c>
      <x:c r="B35" s="76" t="str">
        <x:v>SD-Module-Agent-v2.0-draft-review</x:v>
      </x:c>
      <x:c r="C35" s="76" t="str">
        <x:v>Agent registration and communication tests</x:v>
      </x:c>
      <x:c r="D35" s="76" t="str">
        <x:v>Accept with adaptation</x:v>
      </x:c>
      <x:c r="E35" s="76" t="str">
        <x:v>Added an explicit statement that an FTP_DIT_EXT.1-protected registration channel may operate over any untrusted network; no trusted-registration-network assumption is made.</x:v>
      </x:c>
      <x:c r="F35" s="76" t="str">
        <x:v>Agent PP-Module and Supporting Document, FCO_CPC_EXT.1</x:v>
      </x:c>
    </x:row>
    <x:row r="36" ht="72" customHeight="1">
      <x:c r="A36" s="76" t="str">
        <x:v>BAH-032</x:v>
      </x:c>
      <x:c r="B36" s="76" t="str">
        <x:v>SD-Module-Agent-v2.0-draft-review</x:v>
      </x:c>
      <x:c r="C36" s="76" t="str">
        <x:v>Agent registration and communication tests</x:v>
      </x:c>
      <x:c r="D36" s="76" t="str">
        <x:v>Accept</x:v>
      </x:c>
      <x:c r="E36" s="76" t="str">
        <x:v>Adopted the TD0594 wording so the negative test applies only where communication is possible but has not been explicitly enabled.</x:v>
      </x:c>
      <x:c r="F36" s="76" t="str">
        <x:v>Agent Supporting Document, FCO_CPC_EXT.1 Test 1.2</x:v>
      </x:c>
    </x:row>
    <x:row r="37" ht="72" customHeight="1">
      <x:c r="A37" s="76" t="str">
        <x:v>BAH-033</x:v>
      </x:c>
      <x:c r="B37" s="76" t="str">
        <x:v>SD-Module-Agent-v2.0-draft-review</x:v>
      </x:c>
      <x:c r="C37" s="76" t="str">
        <x:v>Agent registration and communication tests</x:v>
      </x:c>
      <x:c r="D37" s="76" t="str">
        <x:v>Accept</x:v>
      </x:c>
      <x:c r="E37" s="76" t="str">
        <x:v>Added the established one-Server test instruction for disabling components in turn and confirming communication ceases.</x:v>
      </x:c>
      <x:c r="F37" s="76" t="str">
        <x:v>Agent Supporting Document, FCO_CPC_EXT.1 Test 2</x:v>
      </x:c>
    </x:row>
    <x:row r="38" ht="72" customHeight="1">
      <x:c r="A38" s="76" t="str">
        <x:v>BAH-034</x:v>
      </x:c>
      <x:c r="B38" s="76" t="str">
        <x:v>SD-Module-Agent-v2.0-draft-review</x:v>
      </x:c>
      <x:c r="C38" s="76" t="str">
        <x:v>Agent registration and communication tests</x:v>
      </x:c>
      <x:c r="D38" s="76" t="str">
        <x:v>Accept</x:v>
      </x:c>
      <x:c r="E38" s="76" t="str">
        <x:v>Removed the Test 4 subtest that attempted to use a registration-only channel after registration. FCO pairing control is covered by Tests 1 and 2; protected-channel testing is covered by FTP_DIT_EXT.1.</x:v>
      </x:c>
      <x:c r="F38" s="76" t="str">
        <x:v>Agent Supporting Document, FCO_CPC_EXT.1 Test</x:v>
      </x:c>
    </x:row>
    <x:row r="39" ht="72" customHeight="1">
      <x:c r="A39" s="76" t="str">
        <x:v>BAH-035</x:v>
      </x:c>
      <x:c r="B39" s="76" t="str">
        <x:v>SD-Module-Agent-v2.0-draft-review</x:v>
      </x:c>
      <x:c r="C39" s="76" t="str">
        <x:v>Agent registration and communication tests</x:v>
      </x:c>
      <x:c r="D39" s="76" t="str">
        <x:v>Accept</x:v>
      </x:c>
      <x:c r="E39" s="76" t="str">
        <x:v>Removed Test 4. Post-registration steady-state channel behavior is covered by FTP_DIT_EXT.1 rather than adding a second FCO_CPC_EXT.1 activity.</x:v>
      </x:c>
      <x:c r="F39" s="76" t="str">
        <x:v>Agent Supporting Document, FCO_CPC_EXT.1 Test</x:v>
      </x:c>
    </x:row>
    <x:row r="40" ht="72" customHeight="1">
      <x:c r="A40" s="76" t="str">
        <x:v>BAH-036</x:v>
      </x:c>
      <x:c r="B40" s="76" t="str">
        <x:v>SD-Module-Server-v2.0-draft-review</x:v>
      </x:c>
      <x:c r="C40" s="76" t="str">
        <x:v>Publication metadata and referenced versions</x:v>
      </x:c>
      <x:c r="D40" s="76" t="str">
        <x:v>Accept</x:v>
      </x:c>
      <x:c r="E40" s="76" t="str">
        <x:v>Updated the Server Supporting Document's CC and revision metadata.</x:v>
      </x:c>
      <x:c r="F40" s="76" t="str">
        <x:v>Server Supporting Document metadata</x:v>
      </x:c>
    </x:row>
    <x:row r="41" ht="72" customHeight="1">
      <x:c r="A41" s="76" t="str">
        <x:v>BAH-037</x:v>
      </x:c>
      <x:c r="B41" s="76" t="str">
        <x:v>SD-Module-Server-v2.0-draft-review</x:v>
      </x:c>
      <x:c r="C41" s="76" t="str">
        <x:v>Publication metadata and referenced versions</x:v>
      </x:c>
      <x:c r="D41" s="76" t="str">
        <x:v>Accept</x:v>
      </x:c>
      <x:c r="E41" s="76" t="str">
        <x:v>Updated the Server Supporting Document's PP-Module reference to Version 2.0.</x:v>
      </x:c>
      <x:c r="F41" s="76" t="str">
        <x:v>Server Supporting Document references</x:v>
      </x:c>
    </x:row>
    <x:row r="42" ht="72" customHeight="1">
      <x:c r="A42" s="76" t="str">
        <x:v>BAH-038</x:v>
      </x:c>
      <x:c r="B42" s="76" t="str">
        <x:v>SD-Module-Server-v2.0-draft-review</x:v>
      </x:c>
      <x:c r="C42" s="76" t="str">
        <x:v>Server module alignment with the base cPP</x:v>
      </x:c>
      <x:c r="D42" s="76" t="str">
        <x:v>Accept</x:v>
      </x:c>
      <x:c r="E42" s="76" t="str">
        <x:v>Removed the duplicate Server FMT_MEC Test 2 and retained the base cPP evaluation activity for configuration-storage behavior.</x:v>
      </x:c>
      <x:c r="F42" s="76" t="str">
        <x:v>Server Supporting Document, FMT_MEC_EXT.1/Server</x:v>
      </x:c>
    </x:row>
    <x:row r="43" ht="72" customHeight="1">
      <x:c r="A43" s="76" t="str">
        <x:v>BAH-039</x:v>
      </x:c>
      <x:c r="B43" s="76" t="str">
        <x:v>SD-Module-Server-v2.0-draft-review</x:v>
      </x:c>
      <x:c r="C43" s="76" t="str">
        <x:v>Server module alignment with the base cPP</x:v>
      </x:c>
      <x:c r="D43" s="76" t="str">
        <x:v>Clarify with reviewer</x:v>
      </x:c>
      <x:c r="E43" s="76" t="str">
        <x:v>Retained the Server refinement and updated it for all claimed platforms by invoking the base Windows and macOS activities and adding the Linux-container mandatory-access-control check.</x:v>
      </x:c>
      <x:c r="F43" s="76" t="str">
        <x:v>Server Supporting Document, FPT_AEX_EXT.2/Server</x:v>
      </x:c>
    </x:row>
    <x:row r="44" ht="72" customHeight="1">
      <x:c r="A44" s="76" t="str">
        <x:v>BAH-040</x:v>
      </x:c>
      <x:c r="B44" s="76" t="str">
        <x:v>cPP-Application-Software-v2.0-draft-review</x:v>
      </x:c>
      <x:c r="C44" s="76" t="str">
        <x:v>Publication metadata and referenced versions</x:v>
      </x:c>
      <x:c r="D44" s="76" t="str">
        <x:v>Accept</x:v>
      </x:c>
      <x:c r="E44" s="76" t="str">
        <x:v>Refreshed the base cPP date and draft revision history to 2026, with matching 2026 updates across the review sources.</x:v>
      </x:c>
      <x:c r="F44" s="76" t="str">
        <x:v>Base cPP and review-source metadata</x:v>
      </x:c>
    </x:row>
    <x:row r="45" ht="72" customHeight="1">
      <x:c r="A45" s="76" t="str">
        <x:v>BAH-041</x:v>
      </x:c>
      <x:c r="B45" s="76" t="str">
        <x:v>cPP-Application-Software-v2.0-draft-review</x:v>
      </x:c>
      <x:c r="C45" s="76" t="str">
        <x:v>Managed runtime / application framework scope</x:v>
      </x:c>
      <x:c r="D45" s="76" t="str">
        <x:v>Accept</x:v>
      </x:c>
      <x:c r="E45" s="76" t="str">
        <x:v>Recast the affected text as applying to managed runtime or application framework based TOEs.</x:v>
      </x:c>
      <x:c r="F45" s="76" t="str">
        <x:v>Base cPP, managed-runtime terminology</x:v>
      </x:c>
    </x:row>
    <x:row r="46" ht="72" customHeight="1">
      <x:c r="A46" s="76" t="str">
        <x:v>BAH-042</x:v>
      </x:c>
      <x:c r="B46" s="76" t="str">
        <x:v>cPP-Application-Software-v2.0-draft-review</x:v>
      </x:c>
      <x:c r="C46" s="76" t="str">
        <x:v>Managed runtime / application framework scope</x:v>
      </x:c>
      <x:c r="D46" s="76" t="str">
        <x:v>Accept</x:v>
      </x:c>
      <x:c r="E46" s="76" t="str">
        <x:v>Recast the affected text as applying to managed runtime or application framework based TOEs.</x:v>
      </x:c>
      <x:c r="F46" s="76" t="str">
        <x:v>Base cPP, managed-runtime terminology</x:v>
      </x:c>
    </x:row>
    <x:row r="47" ht="72" customHeight="1">
      <x:c r="A47" s="76" t="str">
        <x:v>BAH-043</x:v>
      </x:c>
      <x:c r="B47" s="76" t="str">
        <x:v>cPP-Application-Software-v2.0-draft-review</x:v>
      </x:c>
      <x:c r="C47" s="76" t="str">
        <x:v>Managed runtime / application framework scope</x:v>
      </x:c>
      <x:c r="D47" s="76" t="str">
        <x:v>Accept</x:v>
      </x:c>
      <x:c r="E47" s="76" t="str">
        <x:v>Updated the trusted-update note so a managed runtime or application framework in the TOE boundary is covered by the TOE update mechanism.</x:v>
      </x:c>
      <x:c r="F47" s="76" t="str">
        <x:v>Base cPP, FPT_TUD_EXT.1</x:v>
      </x:c>
    </x:row>
    <x:row r="48" ht="72" customHeight="1">
      <x:c r="A48" s="76" t="str">
        <x:v>BAH-044</x:v>
      </x:c>
      <x:c r="B48" s="76" t="str">
        <x:v>cPP-Application-Software-v2.0-draft-review</x:v>
      </x:c>
      <x:c r="C48" s="76" t="str">
        <x:v>Managed runtime / application framework scope</x:v>
      </x:c>
      <x:c r="D48" s="76" t="str">
        <x:v>Accept</x:v>
      </x:c>
      <x:c r="E48" s="76" t="str">
        <x:v>Added the TD1050 statement allowing the third-party-library assignment to reference a vendor-provided SBOM.</x:v>
      </x:c>
      <x:c r="F48" s="76" t="str">
        <x:v>Base cPP, FPT_LIB_EXT.1 application note</x:v>
      </x:c>
    </x:row>
    <x:row r="49" ht="72" customHeight="1">
      <x:c r="A49" s="76" t="str">
        <x:v>BAH-045</x:v>
      </x:c>
      <x:c r="B49" s="76" t="str">
        <x:v>cPP-Application-Software-v2.0-draft-review</x:v>
      </x:c>
      <x:c r="C49" s="76" t="str">
        <x:v>Managed runtime / application framework scope</x:v>
      </x:c>
      <x:c r="D49" s="76" t="str">
        <x:v>Accept</x:v>
      </x:c>
      <x:c r="E49" s="76" t="str">
        <x:v>Removed the operational-environment runtime update classification and limited the update obligation to a runtime or framework within the TOE boundary.</x:v>
      </x:c>
      <x:c r="F49" s="76" t="str">
        <x:v>Base cPP, FPT_TUD_EXT.1</x:v>
      </x:c>
    </x:row>
    <x:row r="50" ht="72" customHeight="1">
      <x:c r="A50" s="76" t="str">
        <x:v>BAH-046</x:v>
      </x:c>
      <x:c r="B50" s="76" t="str">
        <x:v>cPP-Application-Software-v2.0-draft-review</x:v>
      </x:c>
      <x:c r="C50" s="76" t="str">
        <x:v>Distributed TOE allocation, IPC, and loopback scope</x:v>
      </x:c>
      <x:c r="D50" s="76" t="str">
        <x:v>Accept</x:v>
      </x:c>
      <x:c r="E50" s="76" t="str">
        <x:v>Converted the communication peer to an explicit multi-selection of trusted IT product and TOE Component Instance. The ST selects every target type used by the TOE.</x:v>
      </x:c>
      <x:c r="F50" s="76" t="str">
        <x:v>Base cPP, FTP_DIT_EXT.1.1</x:v>
      </x:c>
    </x:row>
    <x:row r="51" ht="72" customHeight="1">
      <x:c r="A51" s="76" t="str">
        <x:v>BAH-047</x:v>
      </x:c>
      <x:c r="B51" s="76" t="str">
        <x:v>cPP-Application-Software-v2.0-draft-review</x:v>
      </x:c>
      <x:c r="C51" s="76" t="str">
        <x:v>Distributed TOE allocation, IPC, and loopback scope</x:v>
      </x:c>
      <x:c r="D51" s="76" t="str">
        <x:v>Accept with adaptation</x:v>
      </x:c>
      <x:c r="E51" s="76" t="str">
        <x:v>Retained the base cPP obligation to identify non-network IPC and clarified in the Server-Agent configuration that the description is limited to the mechanism and architecture-level protection relied upon. Detailed implementation or configuration information is required only when an SFR or EA requires it.</x:v>
      </x:c>
      <x:c r="F51" s="76" t="str">
        <x:v>Base cPP and Server-Agent configuration, distributed-TOE IPC guidance</x:v>
      </x:c>
    </x:row>
    <x:row r="52" ht="72" customHeight="1">
      <x:c r="A52" s="76" t="str">
        <x:v>BAH-048</x:v>
      </x:c>
      <x:c r="B52" s="76" t="str">
        <x:v>cPP-Application-Software-v2.0-draft-review</x:v>
      </x:c>
      <x:c r="C52" s="76" t="str">
        <x:v>Distributed TOE allocation, IPC, and loopback scope</x:v>
      </x:c>
      <x:c r="D52" s="76" t="str">
        <x:v>Clarify with reviewer</x:v>
      </x:c>
      <x:c r="E52" s="76" t="str">
        <x:v>Confirmed the intended outcome: a database service reached through a network stack, including loopback, is a transmitted-data endpoint. The ST identifies it as a TOE Component Instance or selected trusted IT product; in-process calls and direct local storage remain outside FTP_DIT_EXT.1. A loopback path is explicitly exercised where present.</x:v>
      </x:c>
      <x:c r="F52" s="76" t="str">
        <x:v>Base cPP, FTP_DIT_EXT.1 target selection and EA</x:v>
      </x:c>
    </x:row>
    <x:row r="53" ht="72" customHeight="1">
      <x:c r="A53" s="76" t="str">
        <x:v>BAH-049</x:v>
      </x:c>
      <x:c r="B53" s="76" t="str">
        <x:v>cPP-Application-Software-v2.0-draft-review</x:v>
      </x:c>
      <x:c r="C53" s="76" t="str">
        <x:v>Distributed TOE allocation, IPC, and loopback scope</x:v>
      </x:c>
      <x:c r="D53" s="76" t="str">
        <x:v>Accept</x:v>
      </x:c>
      <x:c r="E53" s="76" t="str">
        <x:v>Applied the same explicit multi-selection of trusted IT product and TOE Component Instance in the extended-component definition.</x:v>
      </x:c>
      <x:c r="F53" s="76" t="str">
        <x:v>Base cPP, FTP_DIT_EXT.1 extended-component definition</x:v>
      </x:c>
    </x:row>
  </x:sheetData>
  <x:mergeCells>
    <x:mergeCell ref="A1:F1"/>
    <x:mergeCell ref="A2:F2"/>
  </x:mergeCells>
  <x:conditionalFormatting sqref="D5:D53">
    <x:cfRule type="containsText" dxfId="2" priority="1" operator="containsText" text="Accept"/>
    <x:cfRule type="containsText" dxfId="3" priority="2" operator="containsText" text="Clarify"/>
  </x:conditionalFormatting>
  <x:pageMargins left="0.7" right="0.7" top="0.75" bottom="0.75" header="0.3" footer="0.3"/>
  <x:tableParts count="1">
    <x:tablePart xmlns:r="http://schemas.openxmlformats.org/officeDocument/2006/relationships" r:id="Ra5645371b89241e3"/>
  </x:tableParts>
</x:worksheet>
</file>

<file path=xl/worksheets/sheet4.xml><?xml version="1.0" encoding="utf-8"?>
<x:worksheet xmlns:x="http://schemas.openxmlformats.org/spreadsheetml/2006/main">
  <x:sheetViews>
    <x:sheetView showGridLines="0" workbookViewId="0"/>
  </x:sheetViews>
  <x:sheetFormatPr defaultRowHeight="15"/>
  <x:cols>
    <x:col min="1" max="1" width="46" hidden="0" customWidth="1"/>
    <x:col min="2" max="2" width="12" hidden="0" customWidth="1"/>
    <x:col min="3" max="3" width="48" hidden="0" customWidth="1"/>
    <x:col min="4" max="4" width="38" hidden="0" customWidth="1"/>
  </x:cols>
  <x:sheetData>
    <x:row r="1">
      <x:c r="A1" s="79" t="str">
        <x:v>Source PDF inventory</x:v>
      </x:c>
      <x:c r="B1" s="79"/>
      <x:c r="C1" s="79"/>
      <x:c r="D1" s="79"/>
    </x:row>
    <x:row r="3">
      <x:c r="A3" s="11" t="str">
        <x:v>Document</x:v>
      </x:c>
      <x:c r="B3" s="80" t="str">
        <x:v>Comments</x:v>
      </x:c>
      <x:c r="C3" s="80" t="str">
        <x:v>Source</x:v>
      </x:c>
      <x:c r="D3" s="12" t="str">
        <x:v>Notes</x:v>
      </x:c>
    </x:row>
    <x:row r="4" ht="38" customHeight="1">
      <x:c r="A4" s="59" t="str">
        <x:v>PP-Configuration-Server-Agent-v2.0-draft-review</x:v>
      </x:c>
      <x:c r="B4" s="89" t="n">
        <x:f>COUNTIF('Comment Register'!$B$2:$B$50,A4)</x:f>
        <x:v>8</x:v>
      </x:c>
      <x:c r="C4" s="85" t="str">
        <x:v>PP-Configuration-Server-Agent-v2.0-draft-review-BAH.pdf</x:v>
      </x:c>
      <x:c r="D4" s="86" t="str">
        <x:v>Original annotated PDF preserved under Comments/.</x:v>
      </x:c>
    </x:row>
    <x:row r="5" ht="38" customHeight="1">
      <x:c r="A5" s="59" t="str">
        <x:v>PP-Configuration-Server-v2.0-draft-review</x:v>
      </x:c>
      <x:c r="B5" s="89" t="n">
        <x:f>COUNTIF('Comment Register'!$B$2:$B$50,A5)</x:f>
        <x:v>3</x:v>
      </x:c>
      <x:c r="C5" s="85" t="str">
        <x:v>PP-Configuration-Server-v2.0-draft-review_BAH.pdf</x:v>
      </x:c>
      <x:c r="D5" s="86" t="str">
        <x:v>Original annotated PDF preserved under Comments/.</x:v>
      </x:c>
    </x:row>
    <x:row r="6" ht="38" customHeight="1">
      <x:c r="A6" s="59" t="str">
        <x:v>PP-Module-Agent-v2.0-draft-review</x:v>
      </x:c>
      <x:c r="B6" s="89" t="n">
        <x:f>COUNTIF('Comment Register'!$B$2:$B$50,A6)</x:f>
        <x:v>2</x:v>
      </x:c>
      <x:c r="C6" s="85" t="str">
        <x:v>PP-Module-Agent-v2.0-draft-review-BAH.pdf</x:v>
      </x:c>
      <x:c r="D6" s="86" t="str">
        <x:v>Original annotated PDF preserved under Comments/.</x:v>
      </x:c>
    </x:row>
    <x:row r="7" ht="38" customHeight="1">
      <x:c r="A7" s="59" t="str">
        <x:v>PP-Module-Server-v2.0-draft-review</x:v>
      </x:c>
      <x:c r="B7" s="89" t="n">
        <x:f>COUNTIF('Comment Register'!$B$2:$B$50,A7)</x:f>
        <x:v>3</x:v>
      </x:c>
      <x:c r="C7" s="85" t="str">
        <x:v>PP-Module-Server-v2.0-draft-review-BAH.pdf</x:v>
      </x:c>
      <x:c r="D7" s="86" t="str">
        <x:v>Original annotated PDF preserved under Comments/.</x:v>
      </x:c>
    </x:row>
    <x:row r="8" ht="38" customHeight="1">
      <x:c r="A8" s="59" t="str">
        <x:v>SD-Application-Software-v2.0-draft-review</x:v>
      </x:c>
      <x:c r="B8" s="89" t="n">
        <x:f>COUNTIF('Comment Register'!$B$2:$B$50,A8)</x:f>
        <x:v>8</x:v>
      </x:c>
      <x:c r="C8" s="85" t="str">
        <x:v>SD-Application-Software-v2.0-draft-review - BAH.pdf</x:v>
      </x:c>
      <x:c r="D8" s="86" t="str">
        <x:v>Original annotated PDF preserved under Comments/.</x:v>
      </x:c>
    </x:row>
    <x:row r="9" ht="38" customHeight="1">
      <x:c r="A9" s="59" t="str">
        <x:v>SD-Module-Agent-v2.0-draft-review</x:v>
      </x:c>
      <x:c r="B9" s="89" t="n">
        <x:f>COUNTIF('Comment Register'!$B$2:$B$50,A9)</x:f>
        <x:v>11</x:v>
      </x:c>
      <x:c r="C9" s="85" t="str">
        <x:v>SD-Module-Agent-v2.0-draft-review-BAH.pdf</x:v>
      </x:c>
      <x:c r="D9" s="86" t="str">
        <x:v>Original annotated PDF preserved under Comments/.</x:v>
      </x:c>
    </x:row>
    <x:row r="10" ht="38" customHeight="1">
      <x:c r="A10" s="59" t="str">
        <x:v>SD-Module-Server-v2.0-draft-review</x:v>
      </x:c>
      <x:c r="B10" s="89" t="n">
        <x:f>COUNTIF('Comment Register'!$B$2:$B$50,A10)</x:f>
        <x:v>4</x:v>
      </x:c>
      <x:c r="C10" s="85" t="str">
        <x:v>SD-Module-Server-v2.0-draft-review-BAH.pdf</x:v>
      </x:c>
      <x:c r="D10" s="86" t="str">
        <x:v>Original annotated PDF preserved under Comments/.</x:v>
      </x:c>
    </x:row>
    <x:row r="11" ht="38" customHeight="1">
      <x:c r="A11" s="60" t="str">
        <x:v>cPP-Application-Software-v2.0-draft-review</x:v>
      </x:c>
      <x:c r="B11" s="90" t="n">
        <x:f>COUNTIF('Comment Register'!$B$2:$B$50,A11)</x:f>
        <x:v>10</x:v>
      </x:c>
      <x:c r="C11" s="87" t="str">
        <x:v>cPP-Application-Software-v2.0-draft-review - BAH.pdf</x:v>
      </x:c>
      <x:c r="D11" s="88" t="str">
        <x:v>Original annotated PDF preserved under Comments/.</x:v>
      </x:c>
    </x:row>
  </x:sheetData>
  <x:mergeCells>
    <x:mergeCell ref="A1:D1"/>
  </x:mergeCells>
  <x:pageMargins left="0.7" right="0.7" top="0.75" bottom="0.75" header="0.3" footer="0.3"/>
</x:worksheet>
</file>